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H:\Meu Drive\KELLY MORAIS\Acertos Financeiros - Kamilla\"/>
    </mc:Choice>
  </mc:AlternateContent>
  <xr:revisionPtr revIDLastSave="0" documentId="13_ncr:1_{97EDC327-E182-4E30-9A50-A1A31A9860CC}" xr6:coauthVersionLast="47" xr6:coauthVersionMax="47" xr10:uidLastSave="{00000000-0000-0000-0000-000000000000}"/>
  <bookViews>
    <workbookView xWindow="3885" yWindow="3885" windowWidth="28800" windowHeight="11295" xr2:uid="{00000000-000D-0000-FFFF-FFFF00000000}"/>
  </bookViews>
  <sheets>
    <sheet name="GASTOS GERAIS" sheetId="1" r:id="rId1"/>
    <sheet name="NATAL 2023" sheetId="2" r:id="rId2"/>
    <sheet name="PIRENOPOLIS 2024" sheetId="3" r:id="rId3"/>
  </sheets>
  <definedNames>
    <definedName name="_xlnm._FilterDatabase" localSheetId="0" hidden="1">'GASTOS GERAIS'!$A$2:$AB$54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7" roundtripDataChecksum="S4O8m6eUCyz5TSNfLMqkW3oaehNAsmqTElE1RgVf4+Q="/>
    </ext>
  </extLst>
</workbook>
</file>

<file path=xl/calcChain.xml><?xml version="1.0" encoding="utf-8"?>
<calcChain xmlns="http://schemas.openxmlformats.org/spreadsheetml/2006/main">
  <c r="C15" i="3" l="1"/>
  <c r="C19" i="3" s="1"/>
  <c r="B8" i="2"/>
  <c r="AB40" i="1"/>
  <c r="AB39" i="1"/>
  <c r="AB38" i="1"/>
  <c r="AB37" i="1"/>
  <c r="AA36" i="1"/>
  <c r="AB36" i="1" s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0" i="1"/>
  <c r="AB19" i="1"/>
  <c r="AB17" i="1"/>
  <c r="AB16" i="1"/>
  <c r="AB15" i="1"/>
  <c r="AB14" i="1"/>
  <c r="AB13" i="1"/>
  <c r="AB12" i="1"/>
  <c r="AB11" i="1"/>
  <c r="AB10" i="1"/>
  <c r="AB1" i="1" s="1"/>
  <c r="AB9" i="1"/>
  <c r="AB8" i="1"/>
  <c r="AB7" i="1"/>
  <c r="AB6" i="1"/>
  <c r="AB5" i="1"/>
  <c r="AB4" i="1"/>
  <c r="AB3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M3" authorId="0" shapeId="0" xr:uid="{00000000-0006-0000-0000-0000A5000000}">
      <text>
        <r>
          <rPr>
            <sz val="11"/>
            <color theme="1"/>
            <rFont val="Calibri"/>
            <scheme val="minor"/>
          </rPr>
          <t>======
ID#AAABkMRExg0
Kelly    (2025-05-25 12:59:05)
Pagou em 24/10/23</t>
        </r>
      </text>
    </comment>
    <comment ref="N3" authorId="0" shapeId="0" xr:uid="{00000000-0006-0000-0000-0000A6000000}">
      <text>
        <r>
          <rPr>
            <sz val="11"/>
            <color theme="1"/>
            <rFont val="Calibri"/>
            <scheme val="minor"/>
          </rPr>
          <t>======
ID#AAABkMRExg4
Kelly    (2025-05-25 12:59:05)
pago em 20/11/23</t>
        </r>
      </text>
    </comment>
    <comment ref="O3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ID#AAABkMRExpA
Kelly    (2025-05-25 12:59:05)
Pago em 26/12/23</t>
        </r>
      </text>
    </comment>
    <comment ref="P3" authorId="0" shapeId="0" xr:uid="{00000000-0006-0000-0000-00008B000000}">
      <text>
        <r>
          <rPr>
            <sz val="11"/>
            <color theme="1"/>
            <rFont val="Calibri"/>
            <scheme val="minor"/>
          </rPr>
          <t>======
ID#AAABkMRExik
Kelly    (2025-05-25 12:59:05)
PAGO 05/02/24</t>
        </r>
      </text>
    </comment>
    <comment ref="Q3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ID#AAABkMRExok
Kelly    (2025-05-25 12:59:05)
PIX 22/02/24</t>
        </r>
      </text>
    </comment>
    <comment ref="R3" authorId="0" shapeId="0" xr:uid="{00000000-0006-0000-0000-0000AC000000}">
      <text>
        <r>
          <rPr>
            <sz val="11"/>
            <color theme="1"/>
            <rFont val="Calibri"/>
            <scheme val="minor"/>
          </rPr>
          <t>======
ID#AAABkMRExgc
Kelly    (2025-05-25 12:59:05)
pago em 20/03/24
deposito no valor de 535.00</t>
        </r>
      </text>
    </comment>
    <comment ref="S3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ID#AAABkMRExn0
Kelly    (2025-05-25 12:59:05)
pago em 23/04 em um deposito de 250,00</t>
        </r>
      </text>
    </comment>
    <comment ref="T3" authorId="0" shapeId="0" xr:uid="{00000000-0006-0000-0000-0000AB000000}">
      <text>
        <r>
          <rPr>
            <sz val="11"/>
            <color theme="1"/>
            <rFont val="Calibri"/>
            <scheme val="minor"/>
          </rPr>
          <t>======
ID#AAABkMRExgg
Kelly    (2025-05-25 12:59:05)
Pagou em 20/05 com dois depósitos:
R$ 424,91 
R$ 216,82</t>
        </r>
      </text>
    </comment>
    <comment ref="U3" authorId="0" shapeId="0" xr:uid="{00000000-0006-0000-0000-000070000000}">
      <text>
        <r>
          <rPr>
            <sz val="11"/>
            <color theme="1"/>
            <rFont val="Calibri"/>
            <scheme val="minor"/>
          </rPr>
          <t>======
ID#AAABkMRExkM
Kelly    (2025-05-25 12:59:05)
pago o total de R$ 1.008,00 através de transferência para a CAIXA em 24/06/24</t>
        </r>
      </text>
    </comment>
    <comment ref="V3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ID#AAABkMRExoE
Kelly    (2025-05-25 12:59:05)
pagou com deposito em 22/07/24 no valor de R$ 267,54</t>
        </r>
      </text>
    </comment>
    <comment ref="M4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ID#AAABkMRExoU
Kelly    (2025-05-25 12:59:05)
Pago em 28/12/23</t>
        </r>
      </text>
    </comment>
    <comment ref="N4" authorId="0" shapeId="0" xr:uid="{00000000-0006-0000-0000-000046000000}">
      <text>
        <r>
          <rPr>
            <sz val="11"/>
            <color theme="1"/>
            <rFont val="Calibri"/>
            <scheme val="minor"/>
          </rPr>
          <t>======
ID#AAABkMRExm0
Kelly    (2025-05-25 12:59:05)
Pagou com PIX para Weber</t>
        </r>
      </text>
    </comment>
    <comment ref="O4" authorId="0" shapeId="0" xr:uid="{00000000-0006-0000-0000-00003D000000}">
      <text>
        <r>
          <rPr>
            <sz val="11"/>
            <color theme="1"/>
            <rFont val="Calibri"/>
            <scheme val="minor"/>
          </rPr>
          <t>======
ID#AAABkMRExnc
Kelly    (2025-05-25 12:59:05)
Pago em 02/01/24</t>
        </r>
      </text>
    </comment>
    <comment ref="P4" authorId="0" shapeId="0" xr:uid="{00000000-0006-0000-0000-000039000000}">
      <text>
        <r>
          <rPr>
            <sz val="11"/>
            <color theme="1"/>
            <rFont val="Calibri"/>
            <scheme val="minor"/>
          </rPr>
          <t>======
ID#AAABkMRExns
Kelly    (2025-05-25 12:59:05)
PAGO 05/02/24</t>
        </r>
      </text>
    </comment>
    <comment ref="Q4" authorId="0" shapeId="0" xr:uid="{00000000-0006-0000-0000-000057000000}">
      <text>
        <r>
          <rPr>
            <sz val="11"/>
            <color theme="1"/>
            <rFont val="Calibri"/>
            <scheme val="minor"/>
          </rPr>
          <t>======
ID#AAABkMRExls
Kelly    (2025-05-25 12:59:05)
PIX 24/02/24</t>
        </r>
      </text>
    </comment>
    <comment ref="R4" authorId="0" shapeId="0" xr:uid="{00000000-0006-0000-0000-00006F000000}">
      <text>
        <r>
          <rPr>
            <sz val="11"/>
            <color theme="1"/>
            <rFont val="Calibri"/>
            <scheme val="minor"/>
          </rPr>
          <t>======
ID#AAABkMRExkQ
Kelly    (2025-05-25 12:59:05)
pago em 20/03/24
deposito no valor de 535.00</t>
        </r>
      </text>
    </comment>
    <comment ref="S4" authorId="0" shapeId="0" xr:uid="{00000000-0006-0000-0000-000084000000}">
      <text>
        <r>
          <rPr>
            <sz val="11"/>
            <color theme="1"/>
            <rFont val="Calibri"/>
            <scheme val="minor"/>
          </rPr>
          <t>======
ID#AAABkMRExi0
Kelly    (2025-05-25 12:59:05)
Pago através de deposito no valor de 407,00 em 29/04/24</t>
        </r>
      </text>
    </comment>
    <comment ref="O5" authorId="0" shapeId="0" xr:uid="{00000000-0006-0000-0000-000085000000}">
      <text>
        <r>
          <rPr>
            <sz val="11"/>
            <color theme="1"/>
            <rFont val="Calibri"/>
            <scheme val="minor"/>
          </rPr>
          <t>======
ID#AAABkMRExi4
Kelly    (2025-05-25 12:59:05)
Pago em 02/01/24</t>
        </r>
      </text>
    </comment>
    <comment ref="P5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ID#AAABkMRExn8
Kelly    (2025-05-25 12:59:05)
PAGO 05/02/24</t>
        </r>
      </text>
    </comment>
    <comment ref="Q5" authorId="0" shapeId="0" xr:uid="{00000000-0006-0000-0000-000052000000}">
      <text>
        <r>
          <rPr>
            <sz val="11"/>
            <color theme="1"/>
            <rFont val="Calibri"/>
            <scheme val="minor"/>
          </rPr>
          <t>======
ID#AAABkMRExmI
Kelly    (2025-05-25 12:59:05)
Pix 38,89 em 24/02/24</t>
        </r>
      </text>
    </comment>
    <comment ref="R5" authorId="0" shapeId="0" xr:uid="{00000000-0006-0000-0000-00006B000000}">
      <text>
        <r>
          <rPr>
            <sz val="11"/>
            <color theme="1"/>
            <rFont val="Calibri"/>
            <scheme val="minor"/>
          </rPr>
          <t>======
ID#AAABkMRExkc
Kelly    (2025-05-25 12:59:05)
pago em 20/03/24
deposito no valor de 535.00</t>
        </r>
      </text>
    </comment>
    <comment ref="S5" authorId="0" shapeId="0" xr:uid="{00000000-0006-0000-0000-000088000000}">
      <text>
        <r>
          <rPr>
            <sz val="11"/>
            <color theme="1"/>
            <rFont val="Calibri"/>
            <scheme val="minor"/>
          </rPr>
          <t>======
ID#AAABkMRExiw
Kelly    (2025-05-25 12:59:05)
pago em 23/04 em um deposito de 250,00</t>
        </r>
      </text>
    </comment>
    <comment ref="T5" authorId="0" shapeId="0" xr:uid="{00000000-0006-0000-0000-000063000000}">
      <text>
        <r>
          <rPr>
            <sz val="11"/>
            <color theme="1"/>
            <rFont val="Calibri"/>
            <scheme val="minor"/>
          </rPr>
          <t>======
ID#AAABkMRExlA
Kelly    (2025-05-25 12:59:05)
Pagou em 20/05 com dois depósitos:
R$ 424,91 
R$ 216,82</t>
        </r>
      </text>
    </comment>
    <comment ref="U5" authorId="0" shapeId="0" xr:uid="{00000000-0006-0000-0000-00009A000000}">
      <text>
        <r>
          <rPr>
            <sz val="11"/>
            <color theme="1"/>
            <rFont val="Calibri"/>
            <scheme val="minor"/>
          </rPr>
          <t>======
ID#AAABkMRExhg
Kelly    (2025-05-25 12:59:05)
pago o total de R$ 1.008,00 através de transferência para a CAIXA em 24/06/24</t>
        </r>
      </text>
    </comment>
    <comment ref="V5" authorId="0" shapeId="0" xr:uid="{00000000-0006-0000-0000-00008C000000}">
      <text>
        <r>
          <rPr>
            <sz val="11"/>
            <color theme="1"/>
            <rFont val="Calibri"/>
            <scheme val="minor"/>
          </rPr>
          <t>======
ID#AAABkMRExiU
Kelly    (2025-05-25 12:59:05)
pagou com deposito em 22/07/24 no valor de R$ 267,54</t>
        </r>
      </text>
    </comment>
    <comment ref="W5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ID#AAABkMRExoY
Kelly    (2025-05-25 12:59:05)
22/08 270,00 (PIX)
22/08 100,00  (PIX)
22/08 39,00 (PIX)
12/08 639,00 (PIX)
DESCONTOS 120,00
FALTOU 45,70 (ABONEI)</t>
        </r>
      </text>
    </comment>
    <comment ref="X5" authorId="0" shapeId="0" xr:uid="{00000000-0006-0000-0000-000056000000}">
      <text>
        <r>
          <rPr>
            <sz val="11"/>
            <color theme="1"/>
            <rFont val="Calibri"/>
            <scheme val="minor"/>
          </rPr>
          <t>======
ID#AAABkMRExl0
Kelly    (2025-05-25 12:59:05)
Kamilla pagou 1.657,00 em 22/09/24 na Caixa</t>
        </r>
      </text>
    </comment>
    <comment ref="O6" authorId="0" shapeId="0" xr:uid="{00000000-0006-0000-0000-000048000000}">
      <text>
        <r>
          <rPr>
            <sz val="11"/>
            <color theme="1"/>
            <rFont val="Calibri"/>
            <scheme val="minor"/>
          </rPr>
          <t>======
ID#AAABkMRExmw
Kelly    (2025-05-25 12:59:05)
Pago em 02/01/24</t>
        </r>
      </text>
    </comment>
    <comment ref="O7" authorId="0" shapeId="0" xr:uid="{00000000-0006-0000-0000-000049000000}">
      <text>
        <r>
          <rPr>
            <sz val="11"/>
            <color theme="1"/>
            <rFont val="Calibri"/>
            <scheme val="minor"/>
          </rPr>
          <t>======
ID#AAABkMRExmk
Kelly    (2025-05-25 12:59:05)
Pagou em 18/12/23 pix</t>
        </r>
      </text>
    </comment>
    <comment ref="P8" authorId="0" shapeId="0" xr:uid="{00000000-0006-0000-0000-000078000000}">
      <text>
        <r>
          <rPr>
            <sz val="11"/>
            <color theme="1"/>
            <rFont val="Calibri"/>
            <scheme val="minor"/>
          </rPr>
          <t>======
ID#AAABkMRExjs
Kelly    (2025-05-25 12:59:05)
PAGO 05/02/24</t>
        </r>
      </text>
    </comment>
    <comment ref="P9" authorId="0" shapeId="0" xr:uid="{00000000-0006-0000-0000-00007A000000}">
      <text>
        <r>
          <rPr>
            <sz val="11"/>
            <color theme="1"/>
            <rFont val="Calibri"/>
            <scheme val="minor"/>
          </rPr>
          <t>======
ID#AAABkMRExjk
Kelly    (2025-05-25 12:59:05)
PAGO 05/02/24</t>
        </r>
      </text>
    </comment>
    <comment ref="P10" authorId="0" shapeId="0" xr:uid="{00000000-0006-0000-0000-000044000000}">
      <text>
        <r>
          <rPr>
            <sz val="11"/>
            <color theme="1"/>
            <rFont val="Calibri"/>
            <scheme val="minor"/>
          </rPr>
          <t>======
ID#AAABkMRExm8
Kelly    (2025-05-25 12:59:05)
PAGO 05/02/24</t>
        </r>
      </text>
    </comment>
    <comment ref="Q10" authorId="0" shapeId="0" xr:uid="{00000000-0006-0000-0000-000079000000}">
      <text>
        <r>
          <rPr>
            <sz val="11"/>
            <color theme="1"/>
            <rFont val="Calibri"/>
            <scheme val="minor"/>
          </rPr>
          <t>======
ID#AAABkMRExjo
Kelly    (2025-05-25 12:59:05)
Pix 24/02/24</t>
        </r>
      </text>
    </comment>
    <comment ref="R10" authorId="0" shapeId="0" xr:uid="{00000000-0006-0000-0000-000065000000}">
      <text>
        <r>
          <rPr>
            <sz val="11"/>
            <color theme="1"/>
            <rFont val="Calibri"/>
            <scheme val="minor"/>
          </rPr>
          <t>======
ID#AAABkMRExk8
Kelly    (2025-05-25 12:59:05)
pago em 20/03/24
deposito no valor de 535.00</t>
        </r>
      </text>
    </comment>
    <comment ref="S10" authorId="0" shapeId="0" xr:uid="{00000000-0006-0000-0000-000092000000}">
      <text>
        <r>
          <rPr>
            <sz val="11"/>
            <color theme="1"/>
            <rFont val="Calibri"/>
            <scheme val="minor"/>
          </rPr>
          <t>======
ID#AAABkMRExiE
Kelly    (2025-05-25 12:59:05)
Pago através de deposito no valor de 407,00 em 29/04/24</t>
        </r>
      </text>
    </comment>
    <comment ref="T10" authorId="0" shapeId="0" xr:uid="{00000000-0006-0000-0000-00007B000000}">
      <text>
        <r>
          <rPr>
            <sz val="11"/>
            <color theme="1"/>
            <rFont val="Calibri"/>
            <scheme val="minor"/>
          </rPr>
          <t>======
ID#AAABkMRExjc
Kelly    (2025-05-25 12:59:05)
Pagou em 20/05 com dois depósitos:
R$ 424,91 
R$ 216,82</t>
        </r>
      </text>
    </comment>
    <comment ref="U10" authorId="0" shapeId="0" xr:uid="{00000000-0006-0000-0000-00009E000000}">
      <text>
        <r>
          <rPr>
            <sz val="11"/>
            <color theme="1"/>
            <rFont val="Calibri"/>
            <scheme val="minor"/>
          </rPr>
          <t>======
ID#AAABkMRExhU
Kelly    (2025-05-25 12:59:05)
pago o total de R$ 1.008,00 através de transferência para a CAIXA em 24/06/24</t>
        </r>
      </text>
    </comment>
    <comment ref="O11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ID#AAABkMRExog
Kelly    (2025-05-25 12:59:05)
Pago em 26/12/23</t>
        </r>
      </text>
    </comment>
    <comment ref="O12" authorId="0" shapeId="0" xr:uid="{00000000-0006-0000-0000-00005F000000}">
      <text>
        <r>
          <rPr>
            <sz val="11"/>
            <color theme="1"/>
            <rFont val="Calibri"/>
            <scheme val="minor"/>
          </rPr>
          <t>======
ID#AAABkMRExlM
Kelly    (2025-05-25 12:59:05)
Pago em 26/12/23</t>
        </r>
      </text>
    </comment>
    <comment ref="M13" authorId="0" shapeId="0" xr:uid="{00000000-0006-0000-0000-00007D000000}">
      <text>
        <r>
          <rPr>
            <sz val="11"/>
            <color theme="1"/>
            <rFont val="Calibri"/>
            <scheme val="minor"/>
          </rPr>
          <t>======
ID#AAABkMRExjU
Kelly    (2025-05-25 12:59:05)
Pago em 28/12/23</t>
        </r>
      </text>
    </comment>
    <comment ref="N13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ID#AAABkMRExpI
Kelly    (2025-05-25 12:59:05)
Pagou com PIX para Weber</t>
        </r>
      </text>
    </comment>
    <comment ref="O13" authorId="0" shapeId="0" xr:uid="{00000000-0006-0000-0000-000091000000}">
      <text>
        <r>
          <rPr>
            <sz val="11"/>
            <color theme="1"/>
            <rFont val="Calibri"/>
            <scheme val="minor"/>
          </rPr>
          <t>======
ID#AAABkMRExiI
Kelly    (2025-05-25 12:59:05)
Pago em 02/01/24</t>
        </r>
      </text>
    </comment>
    <comment ref="P13" authorId="0" shapeId="0" xr:uid="{00000000-0006-0000-0000-000086000000}">
      <text>
        <r>
          <rPr>
            <sz val="11"/>
            <color theme="1"/>
            <rFont val="Calibri"/>
            <scheme val="minor"/>
          </rPr>
          <t>======
ID#AAABkMRExi8
Kelly    (2025-05-25 12:59:05)
PAGO 05/02/24</t>
        </r>
      </text>
    </comment>
    <comment ref="P14" authorId="0" shapeId="0" xr:uid="{00000000-0006-0000-0000-000058000000}">
      <text>
        <r>
          <rPr>
            <sz val="11"/>
            <color theme="1"/>
            <rFont val="Calibri"/>
            <scheme val="minor"/>
          </rPr>
          <t>======
ID#AAABkMRExlw
Kelly    (2025-05-25 12:59:05)
pago em 17/01/24</t>
        </r>
      </text>
    </comment>
    <comment ref="Q15" authorId="0" shapeId="0" xr:uid="{00000000-0006-0000-0000-00008E000000}">
      <text>
        <r>
          <rPr>
            <sz val="11"/>
            <color theme="1"/>
            <rFont val="Calibri"/>
            <scheme val="minor"/>
          </rPr>
          <t>======
ID#AAABkMRExiY
Kelly    (2025-05-25 12:59:05)
PAGO 05/02/24</t>
        </r>
      </text>
    </comment>
    <comment ref="Q16" authorId="0" shapeId="0" xr:uid="{00000000-0006-0000-0000-00006A000000}">
      <text>
        <r>
          <rPr>
            <sz val="11"/>
            <color theme="1"/>
            <rFont val="Calibri"/>
            <scheme val="minor"/>
          </rPr>
          <t>======
ID#AAABkMRExko
Kelly    (2025-05-25 12:59:05)
Blusas - 139,00 
Pix em 23/02/24 de 227,00</t>
        </r>
      </text>
    </comment>
    <comment ref="R16" authorId="0" shapeId="0" xr:uid="{00000000-0006-0000-0000-000074000000}">
      <text>
        <r>
          <rPr>
            <sz val="11"/>
            <color theme="1"/>
            <rFont val="Calibri"/>
            <scheme val="minor"/>
          </rPr>
          <t>======
ID#AAABkMRExj8
Kelly    (2025-05-25 12:59:05)
pago em 20/06/24</t>
        </r>
      </text>
    </comment>
    <comment ref="S16" authorId="0" shapeId="0" xr:uid="{00000000-0006-0000-0000-00006D000000}">
      <text>
        <r>
          <rPr>
            <sz val="11"/>
            <color theme="1"/>
            <rFont val="Calibri"/>
            <scheme val="minor"/>
          </rPr>
          <t>======
ID#AAABkMRExkU
Kelly    (2025-05-25 12:59:05)
pago em dois depositos: 6,00+360,00</t>
        </r>
      </text>
    </comment>
    <comment ref="T16" authorId="0" shapeId="0" xr:uid="{00000000-0006-0000-0000-00007C000000}">
      <text>
        <r>
          <rPr>
            <sz val="11"/>
            <color theme="1"/>
            <rFont val="Calibri"/>
            <scheme val="minor"/>
          </rPr>
          <t>======
ID#AAABkMRExjg
Kelly    (2025-05-25 12:59:05)
PAGO 100,00 EM 13/05/24
Pagou 266,00 em 20/05/24</t>
        </r>
      </text>
    </comment>
    <comment ref="U16" authorId="0" shapeId="0" xr:uid="{00000000-0006-0000-0000-0000A4000000}">
      <text>
        <r>
          <rPr>
            <sz val="11"/>
            <color theme="1"/>
            <rFont val="Calibri"/>
            <scheme val="minor"/>
          </rPr>
          <t>======
ID#AAABkMRExg8
Kelly    (2025-05-25 12:59:05)
pago o total de R$ 1.008,00 através de transferência para a CAIXA em 24/06/24</t>
        </r>
      </text>
    </comment>
    <comment ref="V16" authorId="0" shapeId="0" xr:uid="{00000000-0006-0000-0000-000047000000}">
      <text>
        <r>
          <rPr>
            <sz val="11"/>
            <color theme="1"/>
            <rFont val="Calibri"/>
            <scheme val="minor"/>
          </rPr>
          <t>======
ID#AAABkMRExms
Kelly    (2025-05-25 12:59:05)
deposito em 22/7 de 360,00 e outro de 6,00</t>
        </r>
      </text>
    </comment>
    <comment ref="W16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ID#AAABkMRExpE
Kelly    (2025-05-25 12:59:05)
Kelly:
22/08 270,00 (PIX)
22/08 100,00  (PIX)
22/08 39,00 (PIX)
12/08 639,00 (PIX)
DESCONTOS 120,00
FALTOU 45,70 (ABONEI)</t>
        </r>
      </text>
    </comment>
    <comment ref="X16" authorId="0" shapeId="0" xr:uid="{00000000-0006-0000-0000-000082000000}">
      <text>
        <r>
          <rPr>
            <sz val="11"/>
            <color theme="1"/>
            <rFont val="Calibri"/>
            <scheme val="minor"/>
          </rPr>
          <t>======
ID#AAABkMRExjA
Kelly    (2025-05-25 12:59:05)
Pago em 16/09/24 pela Carol na conta da CAIXA</t>
        </r>
      </text>
    </comment>
    <comment ref="Y16" authorId="0" shapeId="0" xr:uid="{00000000-0006-0000-0000-00003A000000}">
      <text>
        <r>
          <rPr>
            <sz val="11"/>
            <color theme="1"/>
            <rFont val="Calibri"/>
            <scheme val="minor"/>
          </rPr>
          <t>======
ID#AAABkMRExng
User    (2025-05-25 12:59:05)
54,00 pagos pela Kamilal em 23/10/24
312,00 pagos pela Carol em 23/10/24</t>
        </r>
      </text>
    </comment>
    <comment ref="Z16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ID#AAABkMRExpQ
Kelly    (2025-05-25 12:59:05)
Kelly: Pago em 15/11</t>
        </r>
      </text>
    </comment>
    <comment ref="AA16" authorId="0" shapeId="0" xr:uid="{00000000-0006-0000-0000-000064000000}">
      <text>
        <r>
          <rPr>
            <sz val="11"/>
            <color theme="1"/>
            <rFont val="Calibri"/>
            <scheme val="minor"/>
          </rPr>
          <t>======
ID#AAABkMRExk4
User    (2025-05-25 12:59:05)
pago em 02/01/25</t>
        </r>
      </text>
    </comment>
    <comment ref="AD16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ID#AAABkMRExpU
User    (2025-05-25 12:59:05)
Pago pela Kamilla em 03.02.25</t>
        </r>
      </text>
    </comment>
    <comment ref="Q17" authorId="0" shapeId="0" xr:uid="{00000000-0006-0000-0000-000055000000}">
      <text>
        <r>
          <rPr>
            <sz val="11"/>
            <color theme="1"/>
            <rFont val="Calibri"/>
            <scheme val="minor"/>
          </rPr>
          <t>======
ID#AAABkMRExl8
Kelly    (2025-05-25 12:59:05)
PIX 14/02/24</t>
        </r>
      </text>
    </comment>
    <comment ref="R18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ID#AAABkMRExo0
Kelly    (2025-05-25 12:59:05)
Pago através de deposito no valor de 407,00 em 29/04/24</t>
        </r>
      </text>
    </comment>
    <comment ref="S18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ID#AAABkMRExn4
Kelly    (2025-05-25 12:59:05)
PAGO EM 15/04/24 
PIX R$ 454.85</t>
        </r>
      </text>
    </comment>
    <comment ref="T18" authorId="0" shapeId="0" xr:uid="{00000000-0006-0000-0000-000089000000}">
      <text>
        <r>
          <rPr>
            <sz val="11"/>
            <color theme="1"/>
            <rFont val="Calibri"/>
            <scheme val="minor"/>
          </rPr>
          <t>======
ID#AAABkMRExio
Kelly    (2025-05-25 12:59:05)
PAGOU EM 13/05/24 COM DEPOSITO DE 454,85</t>
        </r>
      </text>
    </comment>
    <comment ref="U18" authorId="0" shapeId="0" xr:uid="{00000000-0006-0000-0000-00004F000000}">
      <text>
        <r>
          <rPr>
            <sz val="11"/>
            <color theme="1"/>
            <rFont val="Calibri"/>
            <scheme val="minor"/>
          </rPr>
          <t>======
ID#AAABkMRExmM
Kelly    (2025-05-25 12:59:05)
Pago em conta no valor de R$ 735,50
em 11/06/24</t>
        </r>
      </text>
    </comment>
    <comment ref="V18" authorId="0" shapeId="0" xr:uid="{00000000-0006-0000-0000-000062000000}">
      <text>
        <r>
          <rPr>
            <sz val="11"/>
            <color theme="1"/>
            <rFont val="Calibri"/>
            <scheme val="minor"/>
          </rPr>
          <t>======
ID#AAABkMRExlI
Kelly    (2025-05-25 12:59:05)
Pago através de depósitos na conta da CAIXA: 
em 10/07/24 
R$ 1008,31
R$ 78,00
R$ 154,00</t>
        </r>
      </text>
    </comment>
    <comment ref="W18" authorId="0" shapeId="0" xr:uid="{00000000-0006-0000-0000-000087000000}">
      <text>
        <r>
          <rPr>
            <sz val="11"/>
            <color theme="1"/>
            <rFont val="Calibri"/>
            <scheme val="minor"/>
          </rPr>
          <t>======
ID#AAABkMRExis
Kelly    (2025-05-25 12:59:05)
Kelly:
22/08 270,00 (PIX)
22/08 100,00  (PIX)
22/08 39,00 (PIX)
12/08 639,00 (PIX)
DESCONTOS 120,00
FALTOU 45,70 (ABONEI)</t>
        </r>
      </text>
    </comment>
    <comment ref="X18" authorId="0" shapeId="0" xr:uid="{00000000-0006-0000-0000-00005A000000}">
      <text>
        <r>
          <rPr>
            <sz val="11"/>
            <color theme="1"/>
            <rFont val="Calibri"/>
            <scheme val="minor"/>
          </rPr>
          <t>======
ID#AAABkMRExlg
Kelly    (2025-05-25 12:59:05)
Kamilla pagou 1.657,00 em 22/09/24 na Caixa</t>
        </r>
      </text>
    </comment>
    <comment ref="Y18" authorId="0" shapeId="0" xr:uid="{00000000-0006-0000-0000-00009F000000}">
      <text>
        <r>
          <rPr>
            <sz val="11"/>
            <color theme="1"/>
            <rFont val="Calibri"/>
            <scheme val="minor"/>
          </rPr>
          <t>======
ID#AAABkMRExhQ
Kelly    (2025-05-25 12:59:05)
Depósito em 02/11/24 no valor R$ 1.404,00 na conta CAIXA</t>
        </r>
      </text>
    </comment>
    <comment ref="Z18" authorId="0" shapeId="0" xr:uid="{00000000-0006-0000-0000-00005D000000}">
      <text>
        <r>
          <rPr>
            <sz val="11"/>
            <color theme="1"/>
            <rFont val="Calibri"/>
            <scheme val="minor"/>
          </rPr>
          <t>======
ID#AAABkMRExlc
Kelly    (2025-05-25 12:59:05)
Depósito em 11/11/24 no valor R$ 491,64 na conta CAIXA</t>
        </r>
      </text>
    </comment>
    <comment ref="AA18" authorId="0" shapeId="0" xr:uid="{00000000-0006-0000-0000-00006E000000}">
      <text>
        <r>
          <rPr>
            <sz val="11"/>
            <color theme="1"/>
            <rFont val="Calibri"/>
            <scheme val="minor"/>
          </rPr>
          <t>======
ID#AAABkMRExkY
User    (2025-05-25 12:59:05)
Pago em 10/12/24 em um depósito no valor total de R$ 414,50</t>
        </r>
      </text>
    </comment>
    <comment ref="Q20" authorId="0" shapeId="0" xr:uid="{00000000-0006-0000-0000-000042000000}">
      <text>
        <r>
          <rPr>
            <sz val="11"/>
            <color theme="1"/>
            <rFont val="Calibri"/>
            <scheme val="minor"/>
          </rPr>
          <t>======
ID#AAABkMRExnE
Kelly    (2025-05-25 12:59:05)
pago pela mamãe 04/03/2024</t>
        </r>
      </text>
    </comment>
    <comment ref="S21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ID#AAABkMRExoo
Kelly    (2025-05-25 12:59:05)
PAGO EM 15/04/24 
PIX R$ 454.85</t>
        </r>
      </text>
    </comment>
    <comment ref="T21" authorId="0" shapeId="0" xr:uid="{00000000-0006-0000-0000-000041000000}">
      <text>
        <r>
          <rPr>
            <sz val="11"/>
            <color theme="1"/>
            <rFont val="Calibri"/>
            <scheme val="minor"/>
          </rPr>
          <t>======
ID#AAABkMRExnI
Kelly    (2025-05-25 12:59:05)
PAGOU EM 13/05/24 COM DEPOSITO DE 454,85</t>
        </r>
      </text>
    </comment>
    <comment ref="U21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ID#AAABkMRExo8
Kelly    (2025-05-25 12:59:05)
Pago em conta no valor de R$ 735,50
em 11/06/24</t>
        </r>
      </text>
    </comment>
    <comment ref="S22" authorId="0" shapeId="0" xr:uid="{00000000-0006-0000-0000-000050000000}">
      <text>
        <r>
          <rPr>
            <sz val="11"/>
            <color theme="1"/>
            <rFont val="Calibri"/>
            <scheme val="minor"/>
          </rPr>
          <t>======
ID#AAABkMRExmQ
Kelly    (2025-05-25 12:59:05)
PAGO EM 15/04/24 
PIX R$ 454.85</t>
        </r>
      </text>
    </comment>
    <comment ref="T22" authorId="0" shapeId="0" xr:uid="{00000000-0006-0000-0000-000083000000}">
      <text>
        <r>
          <rPr>
            <sz val="11"/>
            <color theme="1"/>
            <rFont val="Calibri"/>
            <scheme val="minor"/>
          </rPr>
          <t>======
ID#AAABkMRExjE
Kelly    (2025-05-25 12:59:05)
PAGOU EM 13/05/24 COM DEPOSITO DE 454,85</t>
        </r>
      </text>
    </comment>
    <comment ref="U22" authorId="0" shapeId="0" xr:uid="{00000000-0006-0000-0000-00004E000000}">
      <text>
        <r>
          <rPr>
            <sz val="11"/>
            <color theme="1"/>
            <rFont val="Calibri"/>
            <scheme val="minor"/>
          </rPr>
          <t>======
ID#AAABkMRExmU
Kelly    (2025-05-25 12:59:05)
Pagou com massas no dia 26/05/24</t>
        </r>
      </text>
    </comment>
    <comment ref="V22" authorId="0" shapeId="0" xr:uid="{00000000-0006-0000-0000-000075000000}">
      <text>
        <r>
          <rPr>
            <sz val="11"/>
            <color theme="1"/>
            <rFont val="Calibri"/>
            <scheme val="minor"/>
          </rPr>
          <t>======
ID#AAABkMRExjw
Kelly    (2025-05-25 12:59:05)
Pago através de depósitos na conta da CAIXA: 
em 10/07/24 
R$ 1008,31
R$ 78,00
R$ 154,00</t>
        </r>
      </text>
    </comment>
    <comment ref="W22" authorId="0" shapeId="0" xr:uid="{00000000-0006-0000-0000-000097000000}">
      <text>
        <r>
          <rPr>
            <sz val="11"/>
            <color theme="1"/>
            <rFont val="Calibri"/>
            <scheme val="minor"/>
          </rPr>
          <t>======
ID#AAABkMRExhs
Kelly    (2025-05-25 12:59:05)
Kelly:
22/08 270,00 (PIX)
22/08 100,00  (PIX)
22/08 39,00 (PIX)
12/08 639,00 (PIX)
DESCONTOS 120,00
FALTOU 45,70 (ABONEI)</t>
        </r>
      </text>
    </comment>
    <comment ref="X22" authorId="0" shapeId="0" xr:uid="{00000000-0006-0000-0000-000080000000}">
      <text>
        <r>
          <rPr>
            <sz val="11"/>
            <color theme="1"/>
            <rFont val="Calibri"/>
            <scheme val="minor"/>
          </rPr>
          <t>======
ID#AAABkMRExjI
Kelly    (2025-05-25 12:59:05)
Kamilla pagou 1.657,00 em 22/09/24 na Caixa</t>
        </r>
      </text>
    </comment>
    <comment ref="Y22" authorId="0" shapeId="0" xr:uid="{00000000-0006-0000-0000-00003F000000}">
      <text>
        <r>
          <rPr>
            <sz val="11"/>
            <color theme="1"/>
            <rFont val="Calibri"/>
            <scheme val="minor"/>
          </rPr>
          <t>======
ID#AAABkMRExnM
Kelly    (2025-05-25 12:59:05)
Depósito em 02/11/24 no valor R$ 1.404,00 na conta CAIXA</t>
        </r>
      </text>
    </comment>
    <comment ref="Z22" authorId="0" shapeId="0" xr:uid="{00000000-0006-0000-0000-00009B000000}">
      <text>
        <r>
          <rPr>
            <sz val="11"/>
            <color theme="1"/>
            <rFont val="Calibri"/>
            <scheme val="minor"/>
          </rPr>
          <t>======
ID#AAABkMRExhk
Kelly    (2025-05-25 12:59:05)
Depósito em 11/11/24 no valor R$ 491,64 na conta CAIXA</t>
        </r>
      </text>
    </comment>
    <comment ref="AA22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ID#AAABkMRExpM
User    (2025-05-25 12:59:05)
Pago em 10/12/24 em um depósito no valor total de R$ 414,50</t>
        </r>
      </text>
    </comment>
    <comment ref="AD22" authorId="0" shapeId="0" xr:uid="{00000000-0006-0000-0000-0000A1000000}">
      <text>
        <r>
          <rPr>
            <sz val="11"/>
            <color theme="1"/>
            <rFont val="Calibri"/>
            <scheme val="minor"/>
          </rPr>
          <t>======
ID#AAABkMRExhI
User    (2025-05-25 12:59:05)
Pago em 12/01/25 através de deposito de 427,66</t>
        </r>
      </text>
    </comment>
    <comment ref="AE22" authorId="0" shapeId="0" xr:uid="{00000000-0006-0000-0000-000093000000}">
      <text>
        <r>
          <rPr>
            <sz val="11"/>
            <color theme="1"/>
            <rFont val="Calibri"/>
            <scheme val="minor"/>
          </rPr>
          <t>======
ID#AAABkMRExiA
User    (2025-05-25 12:59:05)
Pagos em 2 depositos: 
03/02 - 220,00
18/02 - 341,51</t>
        </r>
      </text>
    </comment>
    <comment ref="AF22" authorId="0" shapeId="0" xr:uid="{00000000-0006-0000-0000-000067000000}">
      <text>
        <r>
          <rPr>
            <sz val="11"/>
            <color theme="1"/>
            <rFont val="Calibri"/>
            <scheme val="minor"/>
          </rPr>
          <t>======
ID#AAABkMRExk0
User    (2025-05-25 12:59:05)
pagamentos do mês feitos através dos pagamentos:
R$ 315,00 em 11/03
R$ 1048,00 em 22/03
R$ 339,86 em 19/03
R$ 1.702,86</t>
        </r>
      </text>
    </comment>
    <comment ref="S23" authorId="0" shapeId="0" xr:uid="{00000000-0006-0000-0000-00005C000000}">
      <text>
        <r>
          <rPr>
            <sz val="11"/>
            <color theme="1"/>
            <rFont val="Calibri"/>
            <scheme val="minor"/>
          </rPr>
          <t>======
ID#AAABkMRExlY
Kelly    (2025-05-25 12:59:05)
PAGO EM 15/04/24 
PIX R$ 454.85</t>
        </r>
      </text>
    </comment>
    <comment ref="T23" authorId="0" shapeId="0" xr:uid="{00000000-0006-0000-0000-000045000000}">
      <text>
        <r>
          <rPr>
            <sz val="11"/>
            <color theme="1"/>
            <rFont val="Calibri"/>
            <scheme val="minor"/>
          </rPr>
          <t>======
ID#AAABkMRExnA
Kelly    (2025-05-25 12:59:05)
PAGOU EM 13/05/24 COM DEPOSITO DE 454,85</t>
        </r>
      </text>
    </comment>
    <comment ref="U23" authorId="0" shapeId="0" xr:uid="{00000000-0006-0000-0000-00009D000000}">
      <text>
        <r>
          <rPr>
            <sz val="11"/>
            <color theme="1"/>
            <rFont val="Calibri"/>
            <scheme val="minor"/>
          </rPr>
          <t>======
ID#AAABkMRExhY
Kelly    (2025-05-25 12:59:05)
Pago em conta no valor de R$ 735,50
em 11/06/24</t>
        </r>
      </text>
    </comment>
    <comment ref="V23" authorId="0" shapeId="0" xr:uid="{00000000-0006-0000-0000-0000A2000000}">
      <text>
        <r>
          <rPr>
            <sz val="11"/>
            <color theme="1"/>
            <rFont val="Calibri"/>
            <scheme val="minor"/>
          </rPr>
          <t>======
ID#AAABkMRExhE
Kelly    (2025-05-25 12:59:05)
Pago através de depósitos na conta da CAIXA: 
em 10/07/24 
R$ 1008,31
R$ 78,00
R$ 154,00</t>
        </r>
      </text>
    </comment>
    <comment ref="W23" authorId="0" shapeId="0" xr:uid="{00000000-0006-0000-0000-000038000000}">
      <text>
        <r>
          <rPr>
            <sz val="11"/>
            <color theme="1"/>
            <rFont val="Calibri"/>
            <scheme val="minor"/>
          </rPr>
          <t>======
ID#AAABkMRExno
Kelly    (2025-05-25 12:59:05)
Kelly:
22/08 270,00 (PIX)
22/08 100,00  (PIX)
22/08 39,00 (PIX)
12/08 639,00 (PIX)
DESCONTOS 120,00
FALTOU 45,70 (ABONEI)</t>
        </r>
      </text>
    </comment>
    <comment ref="X23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ID#AAABkMRExoc
Kelly    (2025-05-25 12:59:05)
Kamilla pagou 1.657,00 em 22/09/24 na Caixa</t>
        </r>
      </text>
    </comment>
    <comment ref="Y23" authorId="0" shapeId="0" xr:uid="{00000000-0006-0000-0000-0000A3000000}">
      <text>
        <r>
          <rPr>
            <sz val="11"/>
            <color theme="1"/>
            <rFont val="Calibri"/>
            <scheme val="minor"/>
          </rPr>
          <t>======
ID#AAABkMRExhA
Kelly    (2025-05-25 12:59:05)
Depósito em 02/11/24 no valor R$ 1.404,00 na conta CAIXA</t>
        </r>
      </text>
    </comment>
    <comment ref="Z23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ID#AAABkMRExoM
Kelly    (2025-05-25 12:59:05)
Depósito em 11/11/24 no valor R$ 491,64 na conta CAIXA</t>
        </r>
      </text>
    </comment>
    <comment ref="AA23" authorId="0" shapeId="0" xr:uid="{00000000-0006-0000-0000-000040000000}">
      <text>
        <r>
          <rPr>
            <sz val="11"/>
            <color theme="1"/>
            <rFont val="Calibri"/>
            <scheme val="minor"/>
          </rPr>
          <t>======
ID#AAABkMRExnQ
User    (2025-05-25 12:59:05)
Pago em 10/12/24 em um depósito no valor total de R$ 414,50</t>
        </r>
      </text>
    </comment>
    <comment ref="AD23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ID#AAABkMRExos
User    (2025-05-25 12:59:05)
Pago em 12/01/25 através de deposito de 427,66</t>
        </r>
      </text>
    </comment>
    <comment ref="AE23" authorId="0" shapeId="0" xr:uid="{00000000-0006-0000-0000-00007F000000}">
      <text>
        <r>
          <rPr>
            <sz val="11"/>
            <color theme="1"/>
            <rFont val="Calibri"/>
            <scheme val="minor"/>
          </rPr>
          <t>======
ID#AAABkMRExjQ
User    (2025-05-25 12:59:05)
Pagos em 2 depositos: 
03/02 - 220,00
18/02 - 341,51</t>
        </r>
      </text>
    </comment>
    <comment ref="AF23" authorId="0" shapeId="0" xr:uid="{00000000-0006-0000-0000-00003E000000}">
      <text>
        <r>
          <rPr>
            <sz val="11"/>
            <color theme="1"/>
            <rFont val="Calibri"/>
            <scheme val="minor"/>
          </rPr>
          <t>======
ID#AAABkMRExnU
User    (2025-05-25 12:59:05)
pagamentos do mês feitos através dos pagamentos:
R$ 315,00 em 11/03
R$ 1048,00 em 22/03
R$ 339,86 em 19/03
R$ 1.702,86</t>
        </r>
      </text>
    </comment>
    <comment ref="T24" authorId="0" shapeId="0" xr:uid="{00000000-0006-0000-0000-00008A000000}">
      <text>
        <r>
          <rPr>
            <sz val="11"/>
            <color theme="1"/>
            <rFont val="Calibri"/>
            <scheme val="minor"/>
          </rPr>
          <t>======
ID#AAABkMRExig
Kelly    (2025-05-25 12:59:05)
Pagou em 20/05 com dois depósitos:
R$ 424,91 
R$ 216,82</t>
        </r>
      </text>
    </comment>
    <comment ref="U24" authorId="0" shapeId="0" xr:uid="{00000000-0006-0000-0000-000037000000}">
      <text>
        <r>
          <rPr>
            <sz val="11"/>
            <color theme="1"/>
            <rFont val="Calibri"/>
            <scheme val="minor"/>
          </rPr>
          <t>======
ID#AAABkMRExnw
Kelly    (2025-05-25 12:59:05)
pago o total de R$ 1.008,00 através de transferência para a CAIXA em 24/06/24</t>
        </r>
      </text>
    </comment>
    <comment ref="T25" authorId="0" shapeId="0" xr:uid="{00000000-0006-0000-0000-000071000000}">
      <text>
        <r>
          <rPr>
            <sz val="11"/>
            <color theme="1"/>
            <rFont val="Calibri"/>
            <scheme val="minor"/>
          </rPr>
          <t>======
ID#AAABkMRExkI
Kelly    (2025-05-25 12:59:05)
Pagou em 20/05 com dois depósitos:
R$ 424,91 
R$ 216,82</t>
        </r>
      </text>
    </comment>
    <comment ref="U25" authorId="0" shapeId="0" xr:uid="{00000000-0006-0000-0000-000051000000}">
      <text>
        <r>
          <rPr>
            <sz val="11"/>
            <color theme="1"/>
            <rFont val="Calibri"/>
            <scheme val="minor"/>
          </rPr>
          <t>======
ID#AAABkMRExmE
Kelly    (2025-05-25 12:59:05)
pago o total de R$ 1.008,00 através de transferência para a CAIXA em 24/06/24</t>
        </r>
      </text>
    </comment>
    <comment ref="V25" authorId="0" shapeId="0" xr:uid="{00000000-0006-0000-0000-000076000000}">
      <text>
        <r>
          <rPr>
            <sz val="11"/>
            <color theme="1"/>
            <rFont val="Calibri"/>
            <scheme val="minor"/>
          </rPr>
          <t>======
ID#AAABkMRExj0
Kelly    (2025-05-25 12:59:05)
pagou com deposito em 22/07/24 no valor de R$ 267,54</t>
        </r>
      </text>
    </comment>
    <comment ref="U26" authorId="0" shapeId="0" xr:uid="{00000000-0006-0000-0000-000081000000}">
      <text>
        <r>
          <rPr>
            <sz val="11"/>
            <color theme="1"/>
            <rFont val="Calibri"/>
            <scheme val="minor"/>
          </rPr>
          <t>======
ID#AAABkMRExjM
Kelly    (2025-05-25 12:59:05)
Pago em conta no valor de R$ 735,50
em 11/06/24</t>
        </r>
      </text>
    </comment>
    <comment ref="V26" authorId="0" shapeId="0" xr:uid="{00000000-0006-0000-0000-0000A0000000}">
      <text>
        <r>
          <rPr>
            <sz val="11"/>
            <color theme="1"/>
            <rFont val="Calibri"/>
            <scheme val="minor"/>
          </rPr>
          <t>======
ID#AAABkMRExhM
Kelly    (2025-05-25 12:59:05)
Pago através de depósitos na conta da CAIXA: 
em 10/07/24 
R$ 1008,31
R$ 78,00
R$ 154,00</t>
        </r>
      </text>
    </comment>
    <comment ref="W26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ID#AAABkMRExoQ
Kelly    (2025-05-25 12:59:05)
Kelly:
22/08 270,00 (PIX)
22/08 100,00  (PIX)
22/08 39,00 (PIX)
12/08 639,00 (PIX)
DESCONTOS 120,00
FALTOU 45,70 (ABONEI)</t>
        </r>
      </text>
    </comment>
    <comment ref="X26" authorId="0" shapeId="0" xr:uid="{00000000-0006-0000-0000-00005B000000}">
      <text>
        <r>
          <rPr>
            <sz val="11"/>
            <color theme="1"/>
            <rFont val="Calibri"/>
            <scheme val="minor"/>
          </rPr>
          <t>======
ID#AAABkMRExlk
Kelly    (2025-05-25 12:59:05)
Kamilla pagou 1.657,00 em 22/09/24 na Caixa</t>
        </r>
      </text>
    </comment>
    <comment ref="Y26" authorId="0" shapeId="0" xr:uid="{00000000-0006-0000-0000-000098000000}">
      <text>
        <r>
          <rPr>
            <sz val="11"/>
            <color theme="1"/>
            <rFont val="Calibri"/>
            <scheme val="minor"/>
          </rPr>
          <t>======
ID#AAABkMRExhw
Kelly    (2025-05-25 12:59:05)
Depósito em 02/11/24 no valor R$ 1.404,00 na conta CAIXA</t>
        </r>
      </text>
    </comment>
    <comment ref="U27" authorId="0" shapeId="0" xr:uid="{00000000-0006-0000-0000-00004C000000}">
      <text>
        <r>
          <rPr>
            <sz val="11"/>
            <color theme="1"/>
            <rFont val="Calibri"/>
            <scheme val="minor"/>
          </rPr>
          <t>======
ID#AAABkMRExmY
Kelly    (2025-05-25 12:59:05)
Pago em conta no valor de R$ 735,50
em 11/06/24</t>
        </r>
      </text>
    </comment>
    <comment ref="V27" authorId="0" shapeId="0" xr:uid="{00000000-0006-0000-0000-000068000000}">
      <text>
        <r>
          <rPr>
            <sz val="11"/>
            <color theme="1"/>
            <rFont val="Calibri"/>
            <scheme val="minor"/>
          </rPr>
          <t>======
ID#AAABkMRExks
Kelly    (2025-05-25 12:59:05)
Pago através de depósitos na conta da CAIXA: 
em 10/07/24 
R$ 1008,31
R$ 78,00
R$ 154,00</t>
        </r>
      </text>
    </comment>
    <comment ref="V28" authorId="0" shapeId="0" xr:uid="{00000000-0006-0000-0000-0000A9000000}">
      <text>
        <r>
          <rPr>
            <sz val="11"/>
            <color theme="1"/>
            <rFont val="Calibri"/>
            <scheme val="minor"/>
          </rPr>
          <t>======
ID#AAABkMRExgo
Kelly    (2025-05-25 12:59:05)
Pago através de depósitos na conta da CAIXA: 
em 10/07/24 
R$ 1008,31
R$ 78,00
R$ 154,00</t>
        </r>
      </text>
    </comment>
    <comment ref="X29" authorId="0" shapeId="0" xr:uid="{00000000-0006-0000-0000-00004B000000}">
      <text>
        <r>
          <rPr>
            <sz val="11"/>
            <color theme="1"/>
            <rFont val="Calibri"/>
            <scheme val="minor"/>
          </rPr>
          <t>======
ID#AAABkMRExmg
Kelly    (2025-05-25 12:59:05)
Kamilla pagou 1.657,00 em 22/09/24 na Caixa</t>
        </r>
      </text>
    </comment>
    <comment ref="Y29" authorId="0" shapeId="0" xr:uid="{00000000-0006-0000-0000-00008D000000}">
      <text>
        <r>
          <rPr>
            <sz val="11"/>
            <color theme="1"/>
            <rFont val="Calibri"/>
            <scheme val="minor"/>
          </rPr>
          <t>======
ID#AAABkMRExic
Kelly    (2025-05-25 12:59:05)
Depósito em 02/11/24 no valor R$ 1.404,00 na conta CAIXA</t>
        </r>
      </text>
    </comment>
    <comment ref="Z29" authorId="0" shapeId="0" xr:uid="{00000000-0006-0000-0000-000077000000}">
      <text>
        <r>
          <rPr>
            <sz val="11"/>
            <color theme="1"/>
            <rFont val="Calibri"/>
            <scheme val="minor"/>
          </rPr>
          <t>======
ID#AAABkMRExj4
User    (2025-05-25 12:59:05)
Pago em 30/11/24</t>
        </r>
      </text>
    </comment>
    <comment ref="AA29" authorId="0" shapeId="0" xr:uid="{00000000-0006-0000-0000-00004A000000}">
      <text>
        <r>
          <rPr>
            <sz val="11"/>
            <color theme="1"/>
            <rFont val="Calibri"/>
            <scheme val="minor"/>
          </rPr>
          <t>======
ID#AAABkMRExmo
User    (2025-05-25 12:59:05)
PAGO EM UM DEPÓSITO ÚNICO NO VALOR DE 700,00 EM 02/01/25</t>
        </r>
      </text>
    </comment>
    <comment ref="X30" authorId="0" shapeId="0" xr:uid="{00000000-0006-0000-0000-0000A8000000}">
      <text>
        <r>
          <rPr>
            <sz val="11"/>
            <color theme="1"/>
            <rFont val="Calibri"/>
            <scheme val="minor"/>
          </rPr>
          <t>======
ID#AAABkMRExgw
Kelly    (2025-05-25 12:59:05)
Kamilla pagou 1.657,00 em 22/09/24 na Caixa</t>
        </r>
      </text>
    </comment>
    <comment ref="Y30" authorId="0" shapeId="0" xr:uid="{00000000-0006-0000-0000-00006C000000}">
      <text>
        <r>
          <rPr>
            <sz val="11"/>
            <color theme="1"/>
            <rFont val="Calibri"/>
            <scheme val="minor"/>
          </rPr>
          <t>======
ID#AAABkMRExkg
Kelly    (2025-05-25 12:59:05)
Depósito em 02/11/24 no valor R$ 1.404,00 na conta CAIXA</t>
        </r>
      </text>
    </comment>
    <comment ref="Z30" authorId="0" shapeId="0" xr:uid="{00000000-0006-0000-0000-000073000000}">
      <text>
        <r>
          <rPr>
            <sz val="11"/>
            <color theme="1"/>
            <rFont val="Calibri"/>
            <scheme val="minor"/>
          </rPr>
          <t>======
ID#AAABkMRExkA
Kelly    (2025-05-25 12:59:05)
pago em 18/11</t>
        </r>
      </text>
    </comment>
    <comment ref="X31" authorId="0" shapeId="0" xr:uid="{00000000-0006-0000-0000-00007E000000}">
      <text>
        <r>
          <rPr>
            <sz val="11"/>
            <color theme="1"/>
            <rFont val="Calibri"/>
            <scheme val="minor"/>
          </rPr>
          <t>======
ID#AAABkMRExjY
Kelly    (2025-05-25 12:59:05)
Kamilla pagou 1.657,00 em 22/09/24 na Caixa</t>
        </r>
      </text>
    </comment>
    <comment ref="Y32" authorId="0" shapeId="0" xr:uid="{00000000-0006-0000-0000-00004D000000}">
      <text>
        <r>
          <rPr>
            <sz val="11"/>
            <color theme="1"/>
            <rFont val="Calibri"/>
            <scheme val="minor"/>
          </rPr>
          <t>======
ID#AAABkMRExmc
Kelly    (2025-05-25 12:59:05)
Depósito em 02/11/24 no valor R$ 1.404,00 na conta CAIXA</t>
        </r>
      </text>
    </comment>
    <comment ref="X33" authorId="0" shapeId="0" xr:uid="{00000000-0006-0000-0000-00003B000000}">
      <text>
        <r>
          <rPr>
            <sz val="11"/>
            <color theme="1"/>
            <rFont val="Calibri"/>
            <scheme val="minor"/>
          </rPr>
          <t>======
ID#AAABkMRExnk
Kelly    (2025-05-25 12:59:05)
Kamilla pagou 1.657,00 em 22/09/24 na Caixa</t>
        </r>
      </text>
    </comment>
    <comment ref="Y34" authorId="0" shapeId="0" xr:uid="{00000000-0006-0000-0000-000061000000}">
      <text>
        <r>
          <rPr>
            <sz val="11"/>
            <color theme="1"/>
            <rFont val="Calibri"/>
            <scheme val="minor"/>
          </rPr>
          <t>======
ID#AAABkMRExlE
Kelly    (2025-05-25 12:59:05)
Depósito em 02/11/24 no valor R$ 1.404,00 na conta CAIXA</t>
        </r>
      </text>
    </comment>
    <comment ref="Z35" authorId="0" shapeId="0" xr:uid="{00000000-0006-0000-0000-000054000000}">
      <text>
        <r>
          <rPr>
            <sz val="11"/>
            <color theme="1"/>
            <rFont val="Calibri"/>
            <scheme val="minor"/>
          </rPr>
          <t>======
ID#AAABkMRExl4
Kelly    (2025-05-25 12:59:05)
Depósito em 11/11/24 no valor R$ 491,64 na conta CAIXA</t>
        </r>
      </text>
    </comment>
    <comment ref="Y36" authorId="0" shapeId="0" xr:uid="{00000000-0006-0000-0000-000090000000}">
      <text>
        <r>
          <rPr>
            <sz val="11"/>
            <color theme="1"/>
            <rFont val="Calibri"/>
            <scheme val="minor"/>
          </rPr>
          <t>======
ID#AAABkMRExiM
Kelly    (2025-05-25 12:59:05)
Depósito em 02/11/24 no valor R$ 1.404,00 na conta CAIXA</t>
        </r>
      </text>
    </comment>
    <comment ref="AA36" authorId="0" shapeId="0" xr:uid="{00000000-0006-0000-0000-000066000000}">
      <text>
        <r>
          <rPr>
            <sz val="11"/>
            <color theme="1"/>
            <rFont val="Calibri"/>
            <scheme val="minor"/>
          </rPr>
          <t>======
ID#AAABkMRExkw
User    (2025-05-25 12:59:05)
PAGO EM UM DEPÓSITO ÚNICO NO VALOR DE 700,00 EM 02/01/25</t>
        </r>
      </text>
    </comment>
    <comment ref="AA37" authorId="0" shapeId="0" xr:uid="{00000000-0006-0000-0000-00008F000000}">
      <text>
        <r>
          <rPr>
            <sz val="11"/>
            <color theme="1"/>
            <rFont val="Calibri"/>
            <scheme val="minor"/>
          </rPr>
          <t>======
ID#AAABkMRExiQ
User    (2025-05-25 12:59:05)
PAGO EM UM DEPÓSITO ÚNICO NO VALOR DE 700,00 EM 02/01/25</t>
        </r>
      </text>
    </comment>
    <comment ref="AA38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ID#AAABkMRExow
User    (2025-05-25 12:59:05)
PAGO EM UM DEPÓSITO ÚNICO NO VALOR DE 700,00 EM 02/01/25</t>
        </r>
      </text>
    </comment>
    <comment ref="AA39" authorId="0" shapeId="0" xr:uid="{00000000-0006-0000-0000-000094000000}">
      <text>
        <r>
          <rPr>
            <sz val="11"/>
            <color theme="1"/>
            <rFont val="Calibri"/>
            <scheme val="minor"/>
          </rPr>
          <t>======
ID#AAABkMRExh8
User    (2025-05-25 12:59:05)
PAGO EM UM DEPÓSITO ÚNICO NO VALOR DE 700,00 EM 02/01/25</t>
        </r>
      </text>
    </comment>
    <comment ref="AD39" authorId="0" shapeId="0" xr:uid="{00000000-0006-0000-0000-00009C000000}">
      <text>
        <r>
          <rPr>
            <sz val="11"/>
            <color theme="1"/>
            <rFont val="Calibri"/>
            <scheme val="minor"/>
          </rPr>
          <t>======
ID#AAABkMRExhc
User    (2025-05-25 12:59:05)
Pagos em 22/01/25</t>
        </r>
      </text>
    </comment>
    <comment ref="AE39" authorId="0" shapeId="0" xr:uid="{00000000-0006-0000-0000-000069000000}">
      <text>
        <r>
          <rPr>
            <sz val="11"/>
            <color theme="1"/>
            <rFont val="Calibri"/>
            <scheme val="minor"/>
          </rPr>
          <t>======
ID#AAABkMRExkk
User    (2025-05-25 12:59:05)
Pago em 26/02/25 R$ 889,25 pix caixa luíza</t>
        </r>
      </text>
    </comment>
    <comment ref="AF39" authorId="0" shapeId="0" xr:uid="{00000000-0006-0000-0000-0000A7000000}">
      <text>
        <r>
          <rPr>
            <sz val="11"/>
            <color theme="1"/>
            <rFont val="Calibri"/>
            <scheme val="minor"/>
          </rPr>
          <t>======
ID#AAABkMRExgs
User    (2025-05-25 12:59:05)
pagamentos do mês feitos através dos pagamentos:
R$ 315,00 em 11/03
R$ 1048,00 em 22/03
R$ 339,86 em 19/03
R$ 1.702,86</t>
        </r>
      </text>
    </comment>
    <comment ref="AG39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ID#AAABkMRExoI
User    (2025-05-25 12:59:05)
pagou em 22/04/25 R$800,00 + R$125,00 em 01/05/25</t>
        </r>
      </text>
    </comment>
    <comment ref="AH39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ID#AAABkiX_ezE
User    (2025-06-02 14:28:09)
R$ 539,00 em 02/06/25
R$ 1300,00 em 26/05/25</t>
        </r>
      </text>
    </comment>
    <comment ref="AI3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ID#AAABk2xelwU
User    (2025-06-25 13:08:38)
Pagamento em deposito em 23/06/25</t>
        </r>
      </text>
    </comment>
    <comment ref="AJ39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ID#AAABpdEY8Rg
User    (2025-08-19 15:13:32)
Pago em 31/07/25 na conta da Caixa no valor total de R$ 586,80</t>
        </r>
      </text>
    </comment>
    <comment ref="AK39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ID#AAABp8SZ9co
User    (2025-08-26 12:54:00)
Pago através de deposito da Caixa em 19/08/25 no valor de R$ 424,50 e outro de R$ 162,30 em 25/8/25</t>
        </r>
      </text>
    </comment>
    <comment ref="AL39" authorId="1" shapeId="0" xr:uid="{1C8C6458-6530-4AF7-BD4C-0F54E9EB1F3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Pago R$ 371,86 em 22/09/25</t>
        </r>
      </text>
    </comment>
    <comment ref="AA40" authorId="0" shapeId="0" xr:uid="{00000000-0006-0000-0000-000060000000}">
      <text>
        <r>
          <rPr>
            <sz val="11"/>
            <color theme="1"/>
            <rFont val="Calibri"/>
            <scheme val="minor"/>
          </rPr>
          <t>======
ID#AAABkMRExlQ
User    (2025-05-25 12:59:05)
PAGO EM UM DEPÓSITO ÚNICO NO VALOR DE 700,00 EM 02/01/25</t>
        </r>
      </text>
    </comment>
    <comment ref="AD40" authorId="0" shapeId="0" xr:uid="{00000000-0006-0000-0000-000099000000}">
      <text>
        <r>
          <rPr>
            <sz val="11"/>
            <color theme="1"/>
            <rFont val="Calibri"/>
            <scheme val="minor"/>
          </rPr>
          <t>======
ID#AAABkMRExho
User    (2025-05-25 12:59:05)
Pago em 12/01/25 através de deposito de 427,66</t>
        </r>
      </text>
    </comment>
    <comment ref="AE40" authorId="0" shapeId="0" xr:uid="{00000000-0006-0000-0000-000096000000}">
      <text>
        <r>
          <rPr>
            <sz val="11"/>
            <color theme="1"/>
            <rFont val="Calibri"/>
            <scheme val="minor"/>
          </rPr>
          <t>======
ID#AAABkMRExh4
User    (2025-05-25 12:59:05)
Pagos em 2 depositos: 
03/02 - 220,00
18/02 - 341,51</t>
        </r>
      </text>
    </comment>
    <comment ref="AE41" authorId="0" shapeId="0" xr:uid="{00000000-0006-0000-0000-000095000000}">
      <text>
        <r>
          <rPr>
            <sz val="11"/>
            <color theme="1"/>
            <rFont val="Calibri"/>
            <scheme val="minor"/>
          </rPr>
          <t>======
ID#AAABkMRExh0
User    (2025-05-25 12:59:05)
Pago em 26/02/25 R$ 889,25 pix caixa luíza</t>
        </r>
      </text>
    </comment>
    <comment ref="AF41" authorId="0" shapeId="0" xr:uid="{00000000-0006-0000-0000-00003C000000}">
      <text>
        <r>
          <rPr>
            <sz val="11"/>
            <color theme="1"/>
            <rFont val="Calibri"/>
            <scheme val="minor"/>
          </rPr>
          <t>======
ID#AAABkMRExnY
User    (2025-05-25 12:59:05)
pagamentos do mês feitos através dos pagamentos:
R$ 315,00 em 11/03
R$ 1048,00 em 22/03
R$ 339,86 em 19/03
R$ 1.702,86</t>
        </r>
      </text>
    </comment>
    <comment ref="AG41" authorId="0" shapeId="0" xr:uid="{00000000-0006-0000-0000-000053000000}">
      <text>
        <r>
          <rPr>
            <sz val="11"/>
            <color theme="1"/>
            <rFont val="Calibri"/>
            <scheme val="minor"/>
          </rPr>
          <t>======
ID#AAABkMRExmA
User    (2025-05-25 12:59:05)
pagou em 22/04/25 R$800,00 + R$125,00 em 01/05/25</t>
        </r>
      </text>
    </comment>
    <comment ref="AH41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ID#AAABkiX_ezA
User    (2025-06-02 14:28:09)
R$ 539,00 em 02/06/25
R$ 1300,00 em 26/05/25</t>
        </r>
      </text>
    </comment>
    <comment ref="AE42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ID#AAABkMRExoA
User    (2025-05-25 12:59:05)
Pago em 26/02/25 R$ 889,25 pix caixa luíza</t>
        </r>
      </text>
    </comment>
    <comment ref="AF42" authorId="0" shapeId="0" xr:uid="{00000000-0006-0000-0000-000059000000}">
      <text>
        <r>
          <rPr>
            <sz val="11"/>
            <color theme="1"/>
            <rFont val="Calibri"/>
            <scheme val="minor"/>
          </rPr>
          <t>======
ID#AAABkMRExlo
User    (2025-05-25 12:59:05)
pagamentos do mês feitos através dos pagamentos:
R$ 315,00 em 11/03
R$ 1048,00 em 22/03
R$ 339,86 em 19/03
R$ 1.702,86</t>
        </r>
      </text>
    </comment>
    <comment ref="AG42" authorId="0" shapeId="0" xr:uid="{00000000-0006-0000-0000-00005E000000}">
      <text>
        <r>
          <rPr>
            <sz val="11"/>
            <color theme="1"/>
            <rFont val="Calibri"/>
            <scheme val="minor"/>
          </rPr>
          <t>======
ID#AAABkMRExlU
User    (2025-05-25 12:59:05)
pagou em 22/04/25 R$800,00 + R$125,00 em 01/05/25</t>
        </r>
      </text>
    </comment>
    <comment ref="AH42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ID#AAABkiX_ey0
User    (2025-06-02 14:28:09)
R$ 539,00 em 02/06/25
R$ 1300,00 em 26/05/25</t>
        </r>
      </text>
    </comment>
    <comment ref="AI42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ID#AAABk2xelwY
User    (2025-06-25 13:08:38)
Pagamento em deposito em 23/06/25</t>
        </r>
      </text>
    </comment>
    <comment ref="AE43" authorId="0" shapeId="0" xr:uid="{00000000-0006-0000-0000-000043000000}">
      <text>
        <r>
          <rPr>
            <sz val="11"/>
            <color theme="1"/>
            <rFont val="Calibri"/>
            <scheme val="minor"/>
          </rPr>
          <t>======
ID#AAABkMRExm4
User    (2025-05-25 12:59:05)
Pagos em 2 depositos: 
03/02 - 220,00
18/02 - 341,51</t>
        </r>
      </text>
    </comment>
    <comment ref="AE44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ID#AAABkMRExo4
User    (2025-05-25 12:59:05)
pagou para Weber em 10/02/25</t>
        </r>
      </text>
    </comment>
    <comment ref="AF45" authorId="0" shapeId="0" xr:uid="{00000000-0006-0000-0000-000072000000}">
      <text>
        <r>
          <rPr>
            <sz val="11"/>
            <color theme="1"/>
            <rFont val="Calibri"/>
            <scheme val="minor"/>
          </rPr>
          <t>======
ID#AAABkMRExkE
User    (2025-05-25 12:59:05)
pagamentos do mês feitos através dos pagamentos:
R$ 315,00 em 11/03
R$ 1048,00 em 22/03
R$ 339,86 em 19/03
R$ 1.702,86</t>
        </r>
      </text>
    </comment>
    <comment ref="AG46" authorId="0" shapeId="0" xr:uid="{00000000-0006-0000-0000-0000AA000000}">
      <text>
        <r>
          <rPr>
            <sz val="11"/>
            <color theme="1"/>
            <rFont val="Calibri"/>
            <scheme val="minor"/>
          </rPr>
          <t>======
ID#AAABkMRExgk
User    (2025-05-25 12:59:05)
Parcela de março e Abril 
pagou em 22/04/25 R$800,00 + R$125,00 em 01/05/25</t>
        </r>
      </text>
    </comment>
    <comment ref="AH46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ID#AAABkiX_eyw
User    (2025-06-02 14:28:09)
R$ 539,00 em 02/06/25
R$ 1300,00 em 26/05/25</t>
        </r>
      </text>
    </comment>
    <comment ref="AI46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ID#AAABk2xelwQ
User    (2025-06-25 13:08:38)
Pagamento em deposito em 23/06/25</t>
        </r>
      </text>
    </comment>
    <comment ref="AJ46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ID#AAABpdEY8Rs
User    (2025-08-19 15:13:32)
Pago em 31/07/25 na conta da Caixa no valor total de R$ 586,80</t>
        </r>
      </text>
    </comment>
    <comment ref="AK46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ID#AAABp8SZ9cw
User    (2025-08-26 12:54:00)
User:
Pago através de deposito da Caixa em 19/08/25 no valor de R$ 424,50 e outro de R$ 162,30 em 25/8/25</t>
        </r>
      </text>
    </comment>
    <comment ref="AL4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ID#AAABrB-x35U
User    (2025-09-11 13:23:09)
Pago em 10/09 - R$ 327,80 conta caixa</t>
        </r>
      </text>
    </comment>
    <comment ref="AM46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ID#AAABsL7WptM
User    (2025-10-09 18:13:29)
Pago em 09.10.25 R$328,00 conta caixa Luiza</t>
        </r>
      </text>
    </comment>
    <comment ref="AF47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ID#AAABkiX_ey8
User    (2025-06-02 14:28:09)
R$ 539,00 em 02/06/25
R$ 1300,00 em 26/05/25</t>
        </r>
      </text>
    </comment>
    <comment ref="AG47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ID#AAABkiX_ezI
User    (2025-06-02 14:28:09)
R$ 539,00 em 02/06/25
R$ 1300,00 em 26/05/25</t>
        </r>
      </text>
    </comment>
    <comment ref="AH47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ID#AAABkiX_ey4
User    (2025-06-02 14:28:09)
R$ 539,00 em 02/06/25
R$ 1300,00 em 26/05/25</t>
        </r>
      </text>
    </comment>
    <comment ref="AI47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ID#AAABlj8s_ZM
User    (2025-06-10 14:33:33)
Depósito em 10/06/25 de R$ 424,50</t>
        </r>
      </text>
    </comment>
    <comment ref="AJ47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ID#AAABpdEY8Ro
User    (2025-08-19 15:13:32)
Pago em 31/07/25 na conta da Caixa no valor total de R$ 586,80</t>
        </r>
      </text>
    </comment>
    <comment ref="AK4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ID#AAABp8SZ9c0
User    (2025-08-26 12:54:00)
User:
Pago através de deposito da Caixa em 19/08/25 no valor de R$ 424,50 e outro de R$ 162,30 em 25/8/25</t>
        </r>
      </text>
    </comment>
    <comment ref="AL4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ID#AAABrB-x35Q
User    (2025-09-11 13:23:09)
Pago em 10/09 - R$ 327,80 conta caixa</t>
        </r>
      </text>
    </comment>
    <comment ref="AM4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ID#AAABsL7WptI
User    (2025-10-09 18:13:29)
Pago em 09.10.25 R$328,00 conta caixa Luiza</t>
        </r>
      </text>
    </comment>
    <comment ref="AK4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ID#AAABrB-x35Y
User    (2025-09-11 13:23:09)
Pago em 30/08 - R$ 95,00 conta caixa</t>
        </r>
      </text>
    </comment>
    <comment ref="AL48" authorId="1" shapeId="0" xr:uid="{ADBFE01A-C55A-4007-99FA-08DEB4B0804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Pago R$ 371,86 em 22/09/25</t>
        </r>
      </text>
    </comment>
    <comment ref="AJ49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ID#AAABqWgjc1M
User    (2025-08-29 19:48:08)
Pago em 29/08/25</t>
        </r>
      </text>
    </comment>
    <comment ref="AK4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ID#AAABqWgjc1I
User    (2025-08-29 19:48:08)
pago em 27/08/25</t>
        </r>
      </text>
    </comment>
    <comment ref="AI51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ID#AAABlj8s_ZQ
User    (2025-06-10 14:33:33)
Depósito em 10/06/25 de R$ 424,50</t>
        </r>
      </text>
    </comment>
    <comment ref="AJ51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ID#AAABpdEY8Rw
User    (2025-08-19 15:13:32)
Pago em 31/07/25 na conta da Caixa no valor total de R$ 586,80</t>
        </r>
      </text>
    </comment>
    <comment ref="AK5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ID#AAABp8SZ9cs
User    (2025-08-26 12:54:00)
User:
Pago através de deposito da Caixa em 19/08/25 no valor de R$ 424,50 e outro de R$ 162,30 em 25/8/25</t>
        </r>
      </text>
    </comment>
    <comment ref="AI52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ID#AAABn8iyDUI
User    (2025-08-19 17:44:08)
pago em 10/06/25 na CAIXA</t>
        </r>
      </text>
    </comment>
    <comment ref="AI53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ID#AAABk2xelwc
User    (2025-06-25 13:08:38)
pago em 10/06/25 através de deposito</t>
        </r>
      </text>
    </comment>
    <comment ref="AL54" authorId="1" shapeId="0" xr:uid="{2D5A142E-46AB-45E0-8146-DCDE7B65D62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Pago R$ 371,86 em 22/09/25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f2gL3MpCRXakvb2QaScJwyngUg=="/>
    </ext>
  </extLst>
</comments>
</file>

<file path=xl/sharedStrings.xml><?xml version="1.0" encoding="utf-8"?>
<sst xmlns="http://schemas.openxmlformats.org/spreadsheetml/2006/main" count="147" uniqueCount="101">
  <si>
    <t xml:space="preserve">DESCRIÇÃO </t>
  </si>
  <si>
    <t>DATA DA COMPRA</t>
  </si>
  <si>
    <t xml:space="preserve">CARTÃO USADO </t>
  </si>
  <si>
    <t xml:space="preserve">TOTAL </t>
  </si>
  <si>
    <t>CONSULTORIA (10 X 190,00)</t>
  </si>
  <si>
    <t>MELIUZ vence 22</t>
  </si>
  <si>
    <t>RENNER</t>
  </si>
  <si>
    <t>?</t>
  </si>
  <si>
    <t>TENNIS MURILO</t>
  </si>
  <si>
    <t xml:space="preserve">EMPRÉSTIMO </t>
  </si>
  <si>
    <t>PIX</t>
  </si>
  <si>
    <t xml:space="preserve">COMPUTADOR </t>
  </si>
  <si>
    <t xml:space="preserve">COMPRA NO MERCADO LIVRE (COPOS) </t>
  </si>
  <si>
    <t>FEIRA DO SOL (LENÇOIS)</t>
  </si>
  <si>
    <t>AIRBNB PIRENÓPOLIS 04 A 07/01/24</t>
  </si>
  <si>
    <t>EMPRESTIMO FATTO IN CASA</t>
  </si>
  <si>
    <t>VIAGEM 1,2,3 MILHAS</t>
  </si>
  <si>
    <t xml:space="preserve">Natal Kamilla </t>
  </si>
  <si>
    <t xml:space="preserve">ACERTO </t>
  </si>
  <si>
    <t xml:space="preserve">REEMBOLSO PIRENOPOLIS </t>
  </si>
  <si>
    <t>EMPRESTIMO CAROL  (12x 366,00 - TODO DIA 20)</t>
  </si>
  <si>
    <t xml:space="preserve">EMPRESTIMO - CARNAVAL </t>
  </si>
  <si>
    <t>MENTORIA FATTO IN CASA</t>
  </si>
  <si>
    <t>BLACK vence dia 10</t>
  </si>
  <si>
    <t>BEBEDOURO - USADO</t>
  </si>
  <si>
    <t xml:space="preserve">EMPRÉSTIMO MAMIS </t>
  </si>
  <si>
    <t>LUZ</t>
  </si>
  <si>
    <t>ALUGUEL - TAXA CADASTRAL - VENCIMENTO 10</t>
  </si>
  <si>
    <t>SEGURO DO ALUGUEL - VENCIMENTO 10</t>
  </si>
  <si>
    <t>SEGURO DO APARTAMENTO - VENCIMENTO 10</t>
  </si>
  <si>
    <t>MERCADO LIVRE - PLACA NOTEBOOK</t>
  </si>
  <si>
    <t xml:space="preserve">DROGASIL </t>
  </si>
  <si>
    <t>INSTITUTO QUEVEDO ODONT.</t>
  </si>
  <si>
    <t xml:space="preserve">PRESENTE DO MURILO </t>
  </si>
  <si>
    <t xml:space="preserve">Tênis do Murilo </t>
  </si>
  <si>
    <t xml:space="preserve">Celular do Eduardo </t>
  </si>
  <si>
    <t>Celular da Kamilla no Cartão Latam Platinum</t>
  </si>
  <si>
    <t>Platinum vence 17</t>
  </si>
  <si>
    <t xml:space="preserve">Emprestímo presente Marília </t>
  </si>
  <si>
    <t>Caixa PIX</t>
  </si>
  <si>
    <t xml:space="preserve">Compras na Amazon </t>
  </si>
  <si>
    <t>Amazon vence 26</t>
  </si>
  <si>
    <t>descontar em julho, 50,00 do TCHARLES</t>
  </si>
  <si>
    <t>120,00 descontar em agosto (30,00 manteiga, 20,00 pão de mel e 70,00 soutien)</t>
  </si>
  <si>
    <t xml:space="preserve">Empréstimo </t>
  </si>
  <si>
    <t>Compras na Amazon - Presente Helena</t>
  </si>
  <si>
    <t>Compras Shopee - caixas</t>
  </si>
  <si>
    <t xml:space="preserve">Shopee - agenda </t>
  </si>
  <si>
    <t>Flores Ellen</t>
  </si>
  <si>
    <t>Sistema Fatto in Casa</t>
  </si>
  <si>
    <t xml:space="preserve">RC Refrigerações </t>
  </si>
  <si>
    <t xml:space="preserve">Livro Fácil (Miguel) </t>
  </si>
  <si>
    <t xml:space="preserve">Passagens Recife </t>
  </si>
  <si>
    <t xml:space="preserve">Empadão + Feira </t>
  </si>
  <si>
    <t xml:space="preserve">Computador </t>
  </si>
  <si>
    <t xml:space="preserve">Pesque e Pague </t>
  </si>
  <si>
    <t>PRESENTE DO EDUARDO - DIA DOS PAIS 2025</t>
  </si>
  <si>
    <t>LENÇÓIS - FEIRA DA LUA</t>
  </si>
  <si>
    <t xml:space="preserve">FACEBOOK </t>
  </si>
  <si>
    <t>Airfrier - Kamilla</t>
  </si>
  <si>
    <t xml:space="preserve">Presente Dias das Mães 2025 - parcela Keila </t>
  </si>
  <si>
    <t>Presente Dias das Mães 2025 - parcela Kamilla</t>
  </si>
  <si>
    <t>Impressora - Cartão Magalu</t>
  </si>
  <si>
    <t>Magalu - vence dia 20</t>
  </si>
  <si>
    <t xml:space="preserve">GELADEIRA </t>
  </si>
  <si>
    <t>FRETE R$ 70,00 - R$ 35,00 DA MARY = 35,00</t>
  </si>
  <si>
    <t>PERFUMES (29/10 5,50 Flores 55,90 / POLO 63,90) + TAXA DE 4,5% R$ 688,55</t>
  </si>
  <si>
    <t>VIAGEM PARA FOZ</t>
  </si>
  <si>
    <t>E Agências ( 10 X 283,24)</t>
  </si>
  <si>
    <t>BLACK</t>
  </si>
  <si>
    <t>HOTEL DO (PARCELA ÚNICA 204,08)</t>
  </si>
  <si>
    <t>HOTE DO (10 X 250,86)</t>
  </si>
  <si>
    <t>FATTO IN CASA</t>
  </si>
  <si>
    <t xml:space="preserve">TATICO </t>
  </si>
  <si>
    <t xml:space="preserve">Açougue </t>
  </si>
  <si>
    <t>Dia a Dia</t>
  </si>
  <si>
    <t xml:space="preserve">Compras do Weber </t>
  </si>
  <si>
    <t xml:space="preserve">ALUGUEL DE LOUÇAS </t>
  </si>
  <si>
    <t>DIVIDIDO POR 12, FICA 84,16 POR PESSOA</t>
  </si>
  <si>
    <t>SENDO 420,00 KELLY QUE VAI DESCONTAR DO CARTÃO - DESCONTOU NA FATURA DE JANEIRO/24</t>
  </si>
  <si>
    <t>SENDO 420,00 KAMILLA, MENOS FATTO IN CASA, IGUAL 120,50, QUE VAI ME PASSAR</t>
  </si>
  <si>
    <t xml:space="preserve"> - PAGO EM 17/01/2024</t>
  </si>
  <si>
    <t>SENDO 168,32 PAPAI E MAMÃE</t>
  </si>
  <si>
    <t>PIRENOPOLIS</t>
  </si>
  <si>
    <t xml:space="preserve">Açougue - Kamilla </t>
  </si>
  <si>
    <t xml:space="preserve">GASTOS KELLY </t>
  </si>
  <si>
    <t>Lorrani</t>
  </si>
  <si>
    <t xml:space="preserve">Supermercado Moreira </t>
  </si>
  <si>
    <t>Cabana do  Pajé Cerveja</t>
  </si>
  <si>
    <t>Assaí</t>
  </si>
  <si>
    <t>Sendas</t>
  </si>
  <si>
    <t>Hipermoreira</t>
  </si>
  <si>
    <t xml:space="preserve">Almoço </t>
  </si>
  <si>
    <t xml:space="preserve">GASTOS TOTAIS </t>
  </si>
  <si>
    <t>DIVIDIDO POR TRÊS</t>
  </si>
  <si>
    <t>KELLY</t>
  </si>
  <si>
    <t xml:space="preserve">FALTA RECEBER 608,33 </t>
  </si>
  <si>
    <t xml:space="preserve">KAMILLA </t>
  </si>
  <si>
    <t xml:space="preserve">FALTA 53,03 PAGAR PARA A KELLY </t>
  </si>
  <si>
    <t xml:space="preserve">MAMIS </t>
  </si>
  <si>
    <t xml:space="preserve">FALTA PAGAR PARA A KELLY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</si>
</sst>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[$R$ -416]#,##0.00"/>
    <numFmt numFmtId="166" formatCode="d/m/yy"/>
    <numFmt numFmtId="167" formatCode="dd/mm/yy"/>
  </numFmts>
  <fonts count="14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28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24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4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757070"/>
        <bgColor rgb="FF757070"/>
      </patternFill>
    </fill>
    <fill>
      <patternFill patternType="solid">
        <fgColor rgb="FF0070C0"/>
        <bgColor rgb="FF0070C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rgb="FFADB9CA"/>
        <bgColor rgb="FFADB9CA"/>
      </patternFill>
    </fill>
    <fill>
      <patternFill patternType="solid">
        <fgColor rgb="FFFF9900"/>
        <bgColor rgb="FFFF990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 style="hair">
        <color rgb="FFA5A5A5"/>
      </left>
      <right style="hair">
        <color rgb="FFA5A5A5"/>
      </right>
      <top style="hair">
        <color rgb="FFA5A5A5"/>
      </top>
      <bottom/>
      <diagonal/>
    </border>
    <border>
      <left style="hair">
        <color rgb="FFA5A5A5"/>
      </left>
      <right style="hair">
        <color rgb="FFA5A5A5"/>
      </right>
      <top/>
      <bottom/>
      <diagonal/>
    </border>
    <border>
      <left/>
      <right/>
      <top/>
      <bottom style="thin">
        <color rgb="FFA5A5A5"/>
      </bottom>
      <diagonal/>
    </border>
    <border>
      <left/>
      <right/>
      <top style="hair">
        <color rgb="FFA5A5A5"/>
      </top>
      <bottom/>
      <diagonal/>
    </border>
    <border>
      <left style="hair">
        <color rgb="FFA5A5A5"/>
      </left>
      <right style="hair">
        <color rgb="FFA5A5A5"/>
      </right>
      <top/>
      <bottom style="hair">
        <color rgb="FFA5A5A5"/>
      </bottom>
      <diagonal/>
    </border>
    <border>
      <left style="hair">
        <color rgb="FFA5A5A5"/>
      </left>
      <right style="hair">
        <color rgb="FFA5A5A5"/>
      </right>
      <top/>
      <bottom/>
      <diagonal/>
    </border>
    <border>
      <left style="hair">
        <color rgb="FFA5A5A5"/>
      </left>
      <right style="hair">
        <color rgb="FFA5A5A5"/>
      </right>
      <top/>
      <bottom style="hair">
        <color rgb="FFA5A5A5"/>
      </bottom>
      <diagonal/>
    </border>
    <border>
      <left/>
      <right/>
      <top/>
      <bottom style="thin">
        <color rgb="FFD8D8D8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4" fontId="1" fillId="2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3" fillId="0" borderId="0" xfId="0" applyNumberFormat="1" applyFont="1"/>
    <xf numFmtId="0" fontId="4" fillId="0" borderId="0" xfId="0" applyFont="1"/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17" fontId="5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64" fontId="3" fillId="6" borderId="2" xfId="0" applyNumberFormat="1" applyFont="1" applyFill="1" applyBorder="1" applyAlignment="1">
      <alignment horizontal="left"/>
    </xf>
    <xf numFmtId="164" fontId="3" fillId="7" borderId="2" xfId="0" applyNumberFormat="1" applyFont="1" applyFill="1" applyBorder="1" applyAlignment="1">
      <alignment horizontal="left"/>
    </xf>
    <xf numFmtId="164" fontId="3" fillId="8" borderId="2" xfId="0" applyNumberFormat="1" applyFont="1" applyFill="1" applyBorder="1" applyAlignment="1">
      <alignment horizontal="left"/>
    </xf>
    <xf numFmtId="164" fontId="3" fillId="9" borderId="2" xfId="0" applyNumberFormat="1" applyFont="1" applyFill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10" borderId="2" xfId="0" applyFont="1" applyFill="1" applyBorder="1" applyAlignment="1">
      <alignment horizontal="left"/>
    </xf>
    <xf numFmtId="164" fontId="3" fillId="11" borderId="2" xfId="0" applyNumberFormat="1" applyFont="1" applyFill="1" applyBorder="1" applyAlignment="1">
      <alignment horizontal="left"/>
    </xf>
    <xf numFmtId="164" fontId="3" fillId="12" borderId="2" xfId="0" applyNumberFormat="1" applyFont="1" applyFill="1" applyBorder="1" applyAlignment="1">
      <alignment horizontal="left"/>
    </xf>
    <xf numFmtId="164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left"/>
    </xf>
    <xf numFmtId="164" fontId="3" fillId="11" borderId="1" xfId="0" applyNumberFormat="1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64" fontId="3" fillId="0" borderId="6" xfId="0" applyNumberFormat="1" applyFont="1" applyBorder="1" applyAlignment="1">
      <alignment horizontal="left"/>
    </xf>
    <xf numFmtId="164" fontId="8" fillId="0" borderId="0" xfId="0" applyNumberFormat="1" applyFont="1" applyAlignment="1">
      <alignment horizontal="left"/>
    </xf>
    <xf numFmtId="164" fontId="3" fillId="13" borderId="1" xfId="0" applyNumberFormat="1" applyFont="1" applyFill="1" applyBorder="1" applyAlignment="1">
      <alignment horizontal="left"/>
    </xf>
    <xf numFmtId="164" fontId="9" fillId="10" borderId="1" xfId="0" applyNumberFormat="1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left" wrapText="1"/>
    </xf>
    <xf numFmtId="164" fontId="3" fillId="12" borderId="1" xfId="0" applyNumberFormat="1" applyFont="1" applyFill="1" applyBorder="1" applyAlignment="1">
      <alignment horizontal="left" wrapText="1"/>
    </xf>
    <xf numFmtId="164" fontId="3" fillId="0" borderId="5" xfId="0" applyNumberFormat="1" applyFont="1" applyBorder="1" applyAlignment="1">
      <alignment horizontal="left"/>
    </xf>
    <xf numFmtId="0" fontId="6" fillId="4" borderId="8" xfId="0" applyFont="1" applyFill="1" applyBorder="1" applyAlignment="1">
      <alignment horizontal="center" vertical="center" textRotation="255"/>
    </xf>
    <xf numFmtId="164" fontId="3" fillId="4" borderId="1" xfId="0" applyNumberFormat="1" applyFont="1" applyFill="1" applyBorder="1" applyAlignment="1">
      <alignment horizontal="left"/>
    </xf>
    <xf numFmtId="164" fontId="3" fillId="14" borderId="1" xfId="0" applyNumberFormat="1" applyFont="1" applyFill="1" applyBorder="1" applyAlignment="1">
      <alignment horizontal="left"/>
    </xf>
    <xf numFmtId="0" fontId="6" fillId="4" borderId="9" xfId="0" applyFont="1" applyFill="1" applyBorder="1" applyAlignment="1">
      <alignment horizontal="center" vertical="center" textRotation="255"/>
    </xf>
    <xf numFmtId="0" fontId="6" fillId="4" borderId="1" xfId="0" applyFont="1" applyFill="1" applyBorder="1" applyAlignment="1">
      <alignment horizontal="center" vertical="center" textRotation="255"/>
    </xf>
    <xf numFmtId="164" fontId="3" fillId="12" borderId="10" xfId="0" applyNumberFormat="1" applyFont="1" applyFill="1" applyBorder="1" applyAlignment="1">
      <alignment horizontal="left"/>
    </xf>
    <xf numFmtId="164" fontId="3" fillId="10" borderId="10" xfId="0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3" fillId="14" borderId="1" xfId="0" applyFont="1" applyFill="1" applyBorder="1" applyAlignment="1">
      <alignment horizontal="left"/>
    </xf>
    <xf numFmtId="164" fontId="8" fillId="14" borderId="1" xfId="0" applyNumberFormat="1" applyFont="1" applyFill="1" applyBorder="1" applyAlignment="1">
      <alignment horizontal="left"/>
    </xf>
    <xf numFmtId="164" fontId="10" fillId="14" borderId="1" xfId="0" applyNumberFormat="1" applyFont="1" applyFill="1" applyBorder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15" borderId="0" xfId="0" applyFont="1" applyFill="1" applyAlignment="1">
      <alignment horizontal="left"/>
    </xf>
    <xf numFmtId="164" fontId="3" fillId="4" borderId="1" xfId="0" applyNumberFormat="1" applyFont="1" applyFill="1" applyBorder="1"/>
    <xf numFmtId="0" fontId="3" fillId="4" borderId="1" xfId="0" applyFont="1" applyFill="1" applyBorder="1"/>
    <xf numFmtId="0" fontId="10" fillId="0" borderId="0" xfId="0" applyFont="1"/>
    <xf numFmtId="14" fontId="3" fillId="0" borderId="0" xfId="0" applyNumberFormat="1" applyFont="1"/>
    <xf numFmtId="164" fontId="10" fillId="0" borderId="0" xfId="0" applyNumberFormat="1" applyFont="1"/>
    <xf numFmtId="0" fontId="11" fillId="0" borderId="0" xfId="0" applyFont="1"/>
    <xf numFmtId="0" fontId="6" fillId="4" borderId="3" xfId="0" applyFont="1" applyFill="1" applyBorder="1" applyAlignment="1">
      <alignment horizontal="center" vertical="center" textRotation="255"/>
    </xf>
    <xf numFmtId="0" fontId="7" fillId="0" borderId="4" xfId="0" applyFont="1" applyBorder="1"/>
    <xf numFmtId="0" fontId="7" fillId="0" borderId="7" xfId="0" applyFont="1" applyBorder="1"/>
    <xf numFmtId="164" fontId="3" fillId="16" borderId="1" xfId="0" applyNumberFormat="1" applyFont="1" applyFill="1" applyBorder="1" applyAlignment="1">
      <alignment horizontal="left"/>
    </xf>
    <xf numFmtId="0" fontId="3" fillId="17" borderId="1" xfId="0" applyFont="1" applyFill="1" applyBorder="1" applyAlignment="1">
      <alignment horizontal="left"/>
    </xf>
    <xf numFmtId="164" fontId="3" fillId="17" borderId="1" xfId="0" applyNumberFormat="1" applyFont="1" applyFill="1" applyBorder="1" applyAlignment="1">
      <alignment horizontal="left"/>
    </xf>
    <xf numFmtId="164" fontId="3" fillId="16" borderId="10" xfId="0" applyNumberFormat="1" applyFont="1" applyFill="1" applyBorder="1" applyAlignment="1">
      <alignment horizontal="left"/>
    </xf>
    <xf numFmtId="164" fontId="3" fillId="18" borderId="0" xfId="0" applyNumberFormat="1" applyFont="1" applyFill="1" applyAlignment="1">
      <alignment horizontal="left"/>
    </xf>
    <xf numFmtId="0" fontId="3" fillId="18" borderId="0" xfId="0" applyFont="1" applyFill="1" applyAlignment="1">
      <alignment horizontal="left"/>
    </xf>
    <xf numFmtId="165" fontId="3" fillId="18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tabSelected="1" topLeftCell="A40" workbookViewId="0">
      <selection activeCell="AQ68" sqref="AQ68"/>
    </sheetView>
  </sheetViews>
  <sheetFormatPr defaultColWidth="14.42578125" defaultRowHeight="15" customHeight="1" x14ac:dyDescent="0.25"/>
  <cols>
    <col min="1" max="1" width="55.28515625" customWidth="1"/>
    <col min="2" max="2" width="15.42578125" customWidth="1"/>
    <col min="3" max="3" width="23.85546875" customWidth="1"/>
    <col min="4" max="5" width="9.140625" hidden="1" customWidth="1"/>
    <col min="6" max="6" width="10.42578125" hidden="1" customWidth="1"/>
    <col min="7" max="9" width="9.140625" hidden="1" customWidth="1"/>
    <col min="10" max="10" width="12.7109375" hidden="1" customWidth="1"/>
    <col min="11" max="11" width="12" hidden="1" customWidth="1"/>
    <col min="12" max="12" width="9.5703125" hidden="1" customWidth="1"/>
    <col min="13" max="13" width="10.5703125" hidden="1" customWidth="1"/>
    <col min="14" max="14" width="11" hidden="1" customWidth="1"/>
    <col min="15" max="15" width="13.140625" hidden="1" customWidth="1"/>
    <col min="16" max="16" width="14.140625" hidden="1" customWidth="1"/>
    <col min="17" max="17" width="13.140625" hidden="1" customWidth="1"/>
    <col min="18" max="18" width="12" hidden="1" customWidth="1"/>
    <col min="19" max="19" width="10.7109375" hidden="1" customWidth="1"/>
    <col min="20" max="20" width="11.42578125" hidden="1" customWidth="1"/>
    <col min="21" max="21" width="13.28515625" hidden="1" customWidth="1"/>
    <col min="22" max="27" width="12.7109375" hidden="1" customWidth="1"/>
    <col min="28" max="28" width="15.42578125" hidden="1" customWidth="1"/>
    <col min="29" max="29" width="12.7109375" hidden="1" customWidth="1"/>
    <col min="30" max="30" width="11.7109375" hidden="1" customWidth="1"/>
    <col min="31" max="31" width="12.85546875" hidden="1" customWidth="1"/>
    <col min="32" max="36" width="12.7109375" hidden="1" customWidth="1"/>
    <col min="37" max="37" width="0.28515625" customWidth="1"/>
    <col min="38" max="41" width="12.7109375" customWidth="1"/>
    <col min="42" max="42" width="12.5703125" customWidth="1"/>
    <col min="43" max="43" width="11.140625" customWidth="1"/>
    <col min="44" max="44" width="10.5703125" customWidth="1"/>
  </cols>
  <sheetData>
    <row r="1" spans="1:44" ht="45" customHeight="1" x14ac:dyDescent="0.25">
      <c r="D1" s="1">
        <f t="shared" ref="D1:W1" si="0">SUBTOTAL(9,D3:D28)</f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390.63</v>
      </c>
      <c r="N1" s="1">
        <f t="shared" si="0"/>
        <v>456.53999999999996</v>
      </c>
      <c r="O1" s="1">
        <f t="shared" si="0"/>
        <v>5301.62</v>
      </c>
      <c r="P1" s="1">
        <f t="shared" si="0"/>
        <v>1176</v>
      </c>
      <c r="Q1" s="1">
        <f t="shared" si="0"/>
        <v>2596.79</v>
      </c>
      <c r="R1" s="1">
        <f t="shared" si="0"/>
        <v>981.78</v>
      </c>
      <c r="S1" s="1">
        <f t="shared" si="0"/>
        <v>1354.4099999999999</v>
      </c>
      <c r="T1" s="1">
        <f t="shared" si="0"/>
        <v>1462.58</v>
      </c>
      <c r="U1" s="1">
        <f t="shared" si="0"/>
        <v>2031.54</v>
      </c>
      <c r="V1" s="1">
        <f t="shared" si="0"/>
        <v>1923.43</v>
      </c>
      <c r="W1" s="1">
        <f t="shared" si="0"/>
        <v>1213.7</v>
      </c>
      <c r="X1" s="1">
        <f t="shared" ref="X1:Z1" si="1">SUBTOTAL(9,X3:X39)</f>
        <v>2022.8899999999999</v>
      </c>
      <c r="Y1" s="1">
        <f t="shared" si="1"/>
        <v>1769.37</v>
      </c>
      <c r="Z1" s="1">
        <f t="shared" si="1"/>
        <v>1273.71</v>
      </c>
      <c r="AA1" s="1">
        <f>SUBTOTAL(9,AA3:AA41)</f>
        <v>1480.5000000000002</v>
      </c>
      <c r="AB1" s="2">
        <f>SUBTOTAL(9,AB3:AB39)</f>
        <v>25322.830000000009</v>
      </c>
      <c r="AC1" s="3"/>
      <c r="AD1" s="1">
        <f t="shared" ref="AD1:AE1" si="2">SUBTOTAL(9,AD3:AD44)</f>
        <v>792.51</v>
      </c>
      <c r="AE1" s="1">
        <f t="shared" si="2"/>
        <v>4238.3600000000006</v>
      </c>
      <c r="AF1" s="1">
        <f>SUBTOTAL(9,AF3:AF45)</f>
        <v>1702.38</v>
      </c>
      <c r="AG1" s="4">
        <f t="shared" ref="AG1:AH1" si="3">SUBTOTAL(9,AG3:AG50)</f>
        <v>1234.95</v>
      </c>
      <c r="AH1" s="5">
        <f t="shared" si="3"/>
        <v>1217.6500000000001</v>
      </c>
      <c r="AI1" s="6">
        <f>SUM(AI39:AI53)</f>
        <v>1348.4</v>
      </c>
      <c r="AJ1" s="6">
        <f t="shared" ref="AJ1:AK1" si="4">SUM(AJ39:AJ51)</f>
        <v>716.8</v>
      </c>
      <c r="AK1" s="6">
        <f t="shared" si="4"/>
        <v>811.8</v>
      </c>
      <c r="AL1" s="6">
        <f>SUM(AL39:AL79)</f>
        <v>699.66</v>
      </c>
      <c r="AM1" s="7">
        <f t="shared" ref="AM1:AN1" si="5">SUM(AM39:AM63)</f>
        <v>554.66000000000008</v>
      </c>
      <c r="AN1" s="7">
        <f t="shared" si="5"/>
        <v>1232.8400000000001</v>
      </c>
      <c r="AO1" s="7">
        <f>SUM(AO39:AO62)</f>
        <v>6418.119999999999</v>
      </c>
      <c r="AP1" s="7">
        <f>SUM(AO39:AO59)</f>
        <v>6167.2599999999993</v>
      </c>
      <c r="AQ1" s="7">
        <f>SUM(AQ39:AQ59)</f>
        <v>459.66</v>
      </c>
      <c r="AR1" s="7">
        <f>SUM(AR39:AR63)</f>
        <v>131.86000000000001</v>
      </c>
    </row>
    <row r="2" spans="1:44" ht="46.5" customHeight="1" x14ac:dyDescent="0.25">
      <c r="A2" s="8" t="s">
        <v>0</v>
      </c>
      <c r="B2" s="9" t="s">
        <v>1</v>
      </c>
      <c r="C2" s="9" t="s">
        <v>2</v>
      </c>
      <c r="D2" s="10">
        <v>44927</v>
      </c>
      <c r="E2" s="10">
        <v>44958</v>
      </c>
      <c r="F2" s="10">
        <v>44986</v>
      </c>
      <c r="G2" s="10">
        <v>45017</v>
      </c>
      <c r="H2" s="10">
        <v>45047</v>
      </c>
      <c r="I2" s="10">
        <v>45078</v>
      </c>
      <c r="J2" s="10">
        <v>45108</v>
      </c>
      <c r="K2" s="10">
        <v>45139</v>
      </c>
      <c r="L2" s="10">
        <v>45170</v>
      </c>
      <c r="M2" s="10">
        <v>45200</v>
      </c>
      <c r="N2" s="10">
        <v>45231</v>
      </c>
      <c r="O2" s="10">
        <v>45261</v>
      </c>
      <c r="P2" s="10">
        <v>45292</v>
      </c>
      <c r="Q2" s="10">
        <v>45323</v>
      </c>
      <c r="R2" s="10">
        <v>45352</v>
      </c>
      <c r="S2" s="10">
        <v>45383</v>
      </c>
      <c r="T2" s="10">
        <v>45413</v>
      </c>
      <c r="U2" s="10">
        <v>45444</v>
      </c>
      <c r="V2" s="10">
        <v>45474</v>
      </c>
      <c r="W2" s="10">
        <v>45505</v>
      </c>
      <c r="X2" s="10">
        <v>45536</v>
      </c>
      <c r="Y2" s="10">
        <v>45566</v>
      </c>
      <c r="Z2" s="10">
        <v>45597</v>
      </c>
      <c r="AA2" s="10">
        <v>45627</v>
      </c>
      <c r="AB2" s="8" t="s">
        <v>3</v>
      </c>
      <c r="AC2" s="65">
        <v>2025</v>
      </c>
      <c r="AD2" s="10">
        <v>45658</v>
      </c>
      <c r="AE2" s="10">
        <v>45689</v>
      </c>
      <c r="AF2" s="10">
        <v>45717</v>
      </c>
      <c r="AG2" s="10">
        <v>45748</v>
      </c>
      <c r="AH2" s="10">
        <v>45778</v>
      </c>
      <c r="AI2" s="10">
        <v>45809</v>
      </c>
      <c r="AJ2" s="10">
        <v>45839</v>
      </c>
      <c r="AK2" s="10">
        <v>45870</v>
      </c>
      <c r="AL2" s="10">
        <v>45901</v>
      </c>
      <c r="AM2" s="10">
        <v>45931</v>
      </c>
      <c r="AN2" s="10">
        <v>45962</v>
      </c>
      <c r="AO2" s="10">
        <v>45992</v>
      </c>
      <c r="AP2" s="10">
        <v>46023</v>
      </c>
      <c r="AQ2" s="10">
        <v>46054</v>
      </c>
      <c r="AR2" s="10">
        <v>46082</v>
      </c>
    </row>
    <row r="3" spans="1:44" ht="15" hidden="1" customHeight="1" x14ac:dyDescent="0.25">
      <c r="A3" s="11" t="s">
        <v>4</v>
      </c>
      <c r="B3" s="12">
        <v>45214</v>
      </c>
      <c r="C3" s="11" t="s">
        <v>5</v>
      </c>
      <c r="D3" s="13"/>
      <c r="E3" s="13"/>
      <c r="F3" s="13"/>
      <c r="G3" s="13"/>
      <c r="H3" s="13"/>
      <c r="I3" s="13"/>
      <c r="J3" s="13"/>
      <c r="K3" s="13"/>
      <c r="L3" s="13"/>
      <c r="M3" s="14">
        <v>190</v>
      </c>
      <c r="N3" s="14">
        <v>190</v>
      </c>
      <c r="O3" s="14">
        <v>190</v>
      </c>
      <c r="P3" s="14">
        <v>190</v>
      </c>
      <c r="Q3" s="15">
        <v>190</v>
      </c>
      <c r="R3" s="14">
        <v>190</v>
      </c>
      <c r="S3" s="15">
        <v>190</v>
      </c>
      <c r="T3" s="16">
        <v>190</v>
      </c>
      <c r="U3" s="14">
        <v>190</v>
      </c>
      <c r="V3" s="16">
        <v>190</v>
      </c>
      <c r="W3" s="13"/>
      <c r="X3" s="13"/>
      <c r="Y3" s="13"/>
      <c r="Z3" s="13"/>
      <c r="AA3" s="13"/>
      <c r="AB3" s="17">
        <f t="shared" ref="AB3:AB17" si="6">SUM(D3:AA3)</f>
        <v>1900</v>
      </c>
      <c r="AC3" s="66"/>
      <c r="AD3" s="18"/>
      <c r="AE3" s="18"/>
      <c r="AF3" s="18"/>
      <c r="AG3" s="6"/>
      <c r="AH3" s="6"/>
    </row>
    <row r="4" spans="1:44" ht="15" hidden="1" customHeight="1" x14ac:dyDescent="0.25">
      <c r="A4" s="11" t="s">
        <v>6</v>
      </c>
      <c r="B4" s="11" t="s">
        <v>7</v>
      </c>
      <c r="C4" s="11" t="s">
        <v>6</v>
      </c>
      <c r="D4" s="13"/>
      <c r="E4" s="13"/>
      <c r="F4" s="13"/>
      <c r="G4" s="13"/>
      <c r="H4" s="13"/>
      <c r="I4" s="13"/>
      <c r="J4" s="13"/>
      <c r="K4" s="13"/>
      <c r="L4" s="13"/>
      <c r="M4" s="14">
        <v>29.54</v>
      </c>
      <c r="N4" s="14">
        <v>102.2</v>
      </c>
      <c r="O4" s="14">
        <v>98.39</v>
      </c>
      <c r="P4" s="14">
        <v>107</v>
      </c>
      <c r="Q4" s="15">
        <v>111.24</v>
      </c>
      <c r="R4" s="14">
        <v>87.7</v>
      </c>
      <c r="S4" s="15">
        <v>105.48</v>
      </c>
      <c r="T4" s="13"/>
      <c r="U4" s="13"/>
      <c r="V4" s="13"/>
      <c r="W4" s="13"/>
      <c r="X4" s="13"/>
      <c r="Y4" s="13"/>
      <c r="Z4" s="13"/>
      <c r="AA4" s="13"/>
      <c r="AB4" s="17">
        <f t="shared" si="6"/>
        <v>641.55000000000007</v>
      </c>
      <c r="AC4" s="66"/>
      <c r="AD4" s="18"/>
      <c r="AE4" s="18"/>
      <c r="AF4" s="18"/>
      <c r="AG4" s="6"/>
      <c r="AH4" s="6"/>
    </row>
    <row r="5" spans="1:44" ht="15" hidden="1" customHeight="1" x14ac:dyDescent="0.25">
      <c r="A5" s="11" t="s">
        <v>8</v>
      </c>
      <c r="B5" s="12">
        <v>45257</v>
      </c>
      <c r="C5" s="11" t="s">
        <v>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>
        <v>38.89</v>
      </c>
      <c r="P5" s="14">
        <v>38.89</v>
      </c>
      <c r="Q5" s="15">
        <v>38.89</v>
      </c>
      <c r="R5" s="14">
        <v>38.89</v>
      </c>
      <c r="S5" s="15">
        <v>38.89</v>
      </c>
      <c r="T5" s="16">
        <v>38.89</v>
      </c>
      <c r="U5" s="14">
        <v>38.89</v>
      </c>
      <c r="V5" s="16">
        <v>38.89</v>
      </c>
      <c r="W5" s="14">
        <v>38.89</v>
      </c>
      <c r="X5" s="14">
        <v>38.89</v>
      </c>
      <c r="Y5" s="13"/>
      <c r="Z5" s="13"/>
      <c r="AA5" s="13"/>
      <c r="AB5" s="17">
        <f t="shared" si="6"/>
        <v>388.89999999999992</v>
      </c>
      <c r="AC5" s="66"/>
      <c r="AD5" s="18"/>
      <c r="AE5" s="18"/>
      <c r="AF5" s="18"/>
      <c r="AG5" s="6"/>
      <c r="AH5" s="6"/>
    </row>
    <row r="6" spans="1:44" ht="15" hidden="1" customHeight="1" x14ac:dyDescent="0.25">
      <c r="A6" s="11" t="s">
        <v>9</v>
      </c>
      <c r="B6" s="12">
        <v>45269</v>
      </c>
      <c r="C6" s="11" t="s">
        <v>10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>
        <v>400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7">
        <f t="shared" si="6"/>
        <v>400</v>
      </c>
      <c r="AC6" s="66"/>
      <c r="AD6" s="18"/>
      <c r="AE6" s="18"/>
      <c r="AF6" s="18"/>
      <c r="AG6" s="6"/>
      <c r="AH6" s="6"/>
    </row>
    <row r="7" spans="1:44" ht="15" hidden="1" customHeight="1" x14ac:dyDescent="0.25">
      <c r="A7" s="11" t="s">
        <v>11</v>
      </c>
      <c r="B7" s="11"/>
      <c r="C7" s="11" t="s">
        <v>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>
        <v>410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7">
        <f t="shared" si="6"/>
        <v>410</v>
      </c>
      <c r="AC7" s="66"/>
      <c r="AD7" s="18"/>
      <c r="AE7" s="18"/>
      <c r="AF7" s="18"/>
      <c r="AG7" s="6"/>
      <c r="AH7" s="6"/>
    </row>
    <row r="8" spans="1:44" ht="15" hidden="1" customHeight="1" x14ac:dyDescent="0.25">
      <c r="A8" s="11" t="s">
        <v>12</v>
      </c>
      <c r="B8" s="12">
        <v>45278</v>
      </c>
      <c r="C8" s="11" t="s">
        <v>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>
        <v>181.08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7">
        <f t="shared" si="6"/>
        <v>181.08</v>
      </c>
      <c r="AC8" s="66"/>
      <c r="AD8" s="18"/>
      <c r="AE8" s="18"/>
      <c r="AF8" s="18"/>
      <c r="AG8" s="6"/>
      <c r="AH8" s="6"/>
    </row>
    <row r="9" spans="1:44" ht="15" hidden="1" customHeight="1" x14ac:dyDescent="0.25">
      <c r="A9" s="11" t="s">
        <v>13</v>
      </c>
      <c r="B9" s="12">
        <v>45277</v>
      </c>
      <c r="C9" s="11" t="s">
        <v>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>
        <v>175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7">
        <f t="shared" si="6"/>
        <v>175</v>
      </c>
      <c r="AC9" s="66"/>
      <c r="AD9" s="18"/>
      <c r="AE9" s="18"/>
      <c r="AF9" s="18"/>
      <c r="AG9" s="6"/>
      <c r="AH9" s="6"/>
    </row>
    <row r="10" spans="1:44" ht="15" hidden="1" customHeight="1" x14ac:dyDescent="0.25">
      <c r="A10" s="11" t="s">
        <v>14</v>
      </c>
      <c r="B10" s="12">
        <v>45278</v>
      </c>
      <c r="C10" s="11" t="s">
        <v>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>
        <v>199.19</v>
      </c>
      <c r="Q10" s="15">
        <v>199.19</v>
      </c>
      <c r="R10" s="14">
        <v>199.19</v>
      </c>
      <c r="S10" s="15">
        <v>199.19</v>
      </c>
      <c r="T10" s="16">
        <v>199.19</v>
      </c>
      <c r="U10" s="14">
        <v>199.19</v>
      </c>
      <c r="V10" s="13"/>
      <c r="W10" s="13"/>
      <c r="X10" s="13"/>
      <c r="Y10" s="13"/>
      <c r="Z10" s="13"/>
      <c r="AA10" s="13"/>
      <c r="AB10" s="17">
        <f t="shared" si="6"/>
        <v>1195.1400000000001</v>
      </c>
      <c r="AC10" s="66"/>
      <c r="AD10" s="18"/>
      <c r="AE10" s="18"/>
      <c r="AF10" s="18"/>
      <c r="AG10" s="6"/>
      <c r="AH10" s="6"/>
    </row>
    <row r="11" spans="1:44" ht="15" hidden="1" customHeight="1" x14ac:dyDescent="0.25">
      <c r="A11" s="11" t="s">
        <v>15</v>
      </c>
      <c r="B11" s="12">
        <v>45280</v>
      </c>
      <c r="C11" s="11" t="s">
        <v>10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>
        <v>2500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7">
        <f t="shared" si="6"/>
        <v>2500</v>
      </c>
      <c r="AC11" s="66"/>
      <c r="AD11" s="18"/>
      <c r="AE11" s="18"/>
      <c r="AF11" s="18"/>
      <c r="AG11" s="6"/>
      <c r="AH11" s="6"/>
    </row>
    <row r="12" spans="1:44" ht="15" hidden="1" customHeight="1" x14ac:dyDescent="0.25">
      <c r="A12" s="11" t="s">
        <v>15</v>
      </c>
      <c r="B12" s="12">
        <v>45280</v>
      </c>
      <c r="C12" s="11" t="s">
        <v>10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>
        <v>1500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7">
        <f t="shared" si="6"/>
        <v>1500</v>
      </c>
      <c r="AC12" s="66"/>
      <c r="AD12" s="18"/>
      <c r="AE12" s="18"/>
      <c r="AF12" s="18"/>
      <c r="AG12" s="6"/>
      <c r="AH12" s="6"/>
    </row>
    <row r="13" spans="1:44" ht="15" hidden="1" customHeight="1" x14ac:dyDescent="0.25">
      <c r="A13" s="11" t="s">
        <v>16</v>
      </c>
      <c r="B13" s="11"/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4">
        <v>171.09</v>
      </c>
      <c r="N13" s="14">
        <v>164.34</v>
      </c>
      <c r="O13" s="14">
        <v>164.34</v>
      </c>
      <c r="P13" s="14">
        <v>164.34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7">
        <f t="shared" si="6"/>
        <v>664.11</v>
      </c>
      <c r="AC13" s="66"/>
      <c r="AD13" s="18"/>
      <c r="AE13" s="18"/>
      <c r="AF13" s="18"/>
      <c r="AG13" s="6"/>
      <c r="AH13" s="6"/>
    </row>
    <row r="14" spans="1:44" ht="15" hidden="1" customHeight="1" x14ac:dyDescent="0.25">
      <c r="A14" s="11" t="s">
        <v>17</v>
      </c>
      <c r="B14" s="12">
        <v>45306</v>
      </c>
      <c r="C14" s="11" t="s">
        <v>18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>
        <v>120.5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7">
        <f t="shared" si="6"/>
        <v>120.5</v>
      </c>
      <c r="AC14" s="66"/>
      <c r="AD14" s="18"/>
      <c r="AE14" s="18"/>
      <c r="AF14" s="18"/>
      <c r="AG14" s="6"/>
      <c r="AH14" s="6"/>
    </row>
    <row r="15" spans="1:44" ht="15" hidden="1" customHeight="1" x14ac:dyDescent="0.25">
      <c r="A15" s="11" t="s">
        <v>19</v>
      </c>
      <c r="B15" s="12">
        <v>45313</v>
      </c>
      <c r="C15" s="11" t="s">
        <v>18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>
        <v>53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7">
        <f t="shared" si="6"/>
        <v>53</v>
      </c>
      <c r="AC15" s="66"/>
      <c r="AD15" s="17"/>
      <c r="AE15" s="17"/>
      <c r="AF15" s="17"/>
      <c r="AG15" s="19"/>
      <c r="AH15" s="19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spans="1:44" ht="19.5" hidden="1" customHeight="1" x14ac:dyDescent="0.25">
      <c r="A16" s="21" t="s">
        <v>20</v>
      </c>
      <c r="B16" s="12">
        <v>45322</v>
      </c>
      <c r="C16" s="11" t="s">
        <v>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5">
        <v>366</v>
      </c>
      <c r="R16" s="14">
        <v>366</v>
      </c>
      <c r="S16" s="15">
        <v>366</v>
      </c>
      <c r="T16" s="16">
        <v>366</v>
      </c>
      <c r="U16" s="14">
        <v>366</v>
      </c>
      <c r="V16" s="16">
        <v>366</v>
      </c>
      <c r="W16" s="14">
        <v>366</v>
      </c>
      <c r="X16" s="14">
        <v>366</v>
      </c>
      <c r="Y16" s="14">
        <v>366</v>
      </c>
      <c r="Z16" s="14">
        <v>366</v>
      </c>
      <c r="AA16" s="22">
        <v>366</v>
      </c>
      <c r="AB16" s="17">
        <f t="shared" si="6"/>
        <v>4026</v>
      </c>
      <c r="AC16" s="66"/>
      <c r="AD16" s="23">
        <v>220</v>
      </c>
      <c r="AE16" s="23"/>
      <c r="AF16" s="23"/>
      <c r="AG16" s="24"/>
      <c r="AH16" s="24"/>
      <c r="AI16" s="25"/>
      <c r="AJ16" s="25"/>
      <c r="AK16" s="25"/>
      <c r="AL16" s="25"/>
      <c r="AM16" s="25"/>
      <c r="AN16" s="25"/>
      <c r="AO16" s="25"/>
      <c r="AP16" s="20"/>
      <c r="AQ16" s="20"/>
      <c r="AR16" s="20"/>
    </row>
    <row r="17" spans="1:44" ht="19.5" hidden="1" customHeight="1" x14ac:dyDescent="0.25">
      <c r="A17" s="11" t="s">
        <v>21</v>
      </c>
      <c r="B17" s="12">
        <v>45638</v>
      </c>
      <c r="C17" s="11" t="s">
        <v>10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5">
        <v>1000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7">
        <f t="shared" si="6"/>
        <v>1000</v>
      </c>
      <c r="AC17" s="66"/>
      <c r="AD17" s="17"/>
      <c r="AE17" s="17"/>
      <c r="AF17" s="17"/>
      <c r="AG17" s="19"/>
      <c r="AH17" s="19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spans="1:44" ht="19.5" hidden="1" customHeight="1" x14ac:dyDescent="0.25">
      <c r="A18" s="11" t="s">
        <v>22</v>
      </c>
      <c r="B18" s="26">
        <v>45328</v>
      </c>
      <c r="C18" s="11" t="s">
        <v>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5">
        <v>100</v>
      </c>
      <c r="S18" s="14">
        <v>100</v>
      </c>
      <c r="T18" s="14">
        <v>100</v>
      </c>
      <c r="U18" s="16">
        <v>100</v>
      </c>
      <c r="V18" s="14">
        <v>100</v>
      </c>
      <c r="W18" s="14">
        <v>100</v>
      </c>
      <c r="X18" s="14">
        <v>100</v>
      </c>
      <c r="Y18" s="14">
        <v>100</v>
      </c>
      <c r="Z18" s="14">
        <v>100</v>
      </c>
      <c r="AA18" s="22">
        <v>100</v>
      </c>
      <c r="AB18" s="17">
        <v>1000</v>
      </c>
      <c r="AC18" s="66"/>
      <c r="AD18" s="17"/>
      <c r="AE18" s="17"/>
      <c r="AF18" s="17"/>
      <c r="AG18" s="19"/>
      <c r="AH18" s="19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spans="1:44" ht="19.5" hidden="1" customHeight="1" x14ac:dyDescent="0.25">
      <c r="A19" s="11" t="s">
        <v>24</v>
      </c>
      <c r="B19" s="12">
        <v>45627</v>
      </c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7">
        <f t="shared" ref="AB19:AB20" si="7">SUM(D19:AA19)</f>
        <v>0</v>
      </c>
      <c r="AC19" s="66"/>
      <c r="AD19" s="17"/>
      <c r="AE19" s="17"/>
      <c r="AF19" s="17"/>
      <c r="AG19" s="19"/>
      <c r="AH19" s="19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9.5" hidden="1" customHeight="1" x14ac:dyDescent="0.25">
      <c r="A20" s="11" t="s">
        <v>25</v>
      </c>
      <c r="B20" s="12">
        <v>45349</v>
      </c>
      <c r="C20" s="11" t="s">
        <v>26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5">
        <v>638.47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7">
        <f t="shared" si="7"/>
        <v>638.47</v>
      </c>
      <c r="AC20" s="66"/>
      <c r="AD20" s="17"/>
      <c r="AE20" s="17"/>
      <c r="AF20" s="17"/>
      <c r="AG20" s="19"/>
      <c r="AH20" s="19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9.5" hidden="1" customHeight="1" x14ac:dyDescent="0.25">
      <c r="A21" s="11" t="s">
        <v>27</v>
      </c>
      <c r="B21" s="26">
        <v>45364</v>
      </c>
      <c r="C21" s="11" t="s">
        <v>23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>
        <v>40</v>
      </c>
      <c r="T21" s="14">
        <v>40</v>
      </c>
      <c r="U21" s="16">
        <v>40</v>
      </c>
      <c r="V21" s="13"/>
      <c r="W21" s="13"/>
      <c r="X21" s="13"/>
      <c r="Y21" s="13"/>
      <c r="Z21" s="13"/>
      <c r="AA21" s="13"/>
      <c r="AB21" s="17">
        <v>120</v>
      </c>
      <c r="AC21" s="66"/>
      <c r="AD21" s="17"/>
      <c r="AE21" s="17"/>
      <c r="AF21" s="17"/>
      <c r="AG21" s="19"/>
      <c r="AH21" s="19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9.5" hidden="1" customHeight="1" x14ac:dyDescent="0.25">
      <c r="A22" s="11" t="s">
        <v>28</v>
      </c>
      <c r="B22" s="26">
        <v>45364</v>
      </c>
      <c r="C22" s="11" t="s">
        <v>23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>
        <v>287.5</v>
      </c>
      <c r="T22" s="14">
        <v>287.5</v>
      </c>
      <c r="U22" s="16">
        <v>287.5</v>
      </c>
      <c r="V22" s="14">
        <v>287.5</v>
      </c>
      <c r="W22" s="14">
        <v>287.5</v>
      </c>
      <c r="X22" s="14">
        <v>287.5</v>
      </c>
      <c r="Y22" s="14">
        <v>287.5</v>
      </c>
      <c r="Z22" s="14">
        <v>287.5</v>
      </c>
      <c r="AA22" s="22">
        <v>287.5</v>
      </c>
      <c r="AB22" s="17">
        <v>2587.5</v>
      </c>
      <c r="AC22" s="66"/>
      <c r="AD22" s="23">
        <v>287.5</v>
      </c>
      <c r="AE22" s="23">
        <v>287.5</v>
      </c>
      <c r="AF22" s="23">
        <v>287.5</v>
      </c>
      <c r="AG22" s="19"/>
      <c r="AH22" s="19"/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spans="1:44" ht="19.5" hidden="1" customHeight="1" x14ac:dyDescent="0.25">
      <c r="A23" s="27" t="s">
        <v>29</v>
      </c>
      <c r="B23" s="26">
        <v>45364</v>
      </c>
      <c r="C23" s="11" t="s">
        <v>23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3"/>
      <c r="Q23" s="13"/>
      <c r="R23" s="13"/>
      <c r="S23" s="29">
        <v>27.35</v>
      </c>
      <c r="T23" s="29">
        <v>27.35</v>
      </c>
      <c r="U23" s="30">
        <v>27.35</v>
      </c>
      <c r="V23" s="29">
        <v>27.35</v>
      </c>
      <c r="W23" s="29">
        <v>27.35</v>
      </c>
      <c r="X23" s="29">
        <v>27.35</v>
      </c>
      <c r="Y23" s="29">
        <v>27.35</v>
      </c>
      <c r="Z23" s="29">
        <v>27.35</v>
      </c>
      <c r="AA23" s="31">
        <v>27.35</v>
      </c>
      <c r="AB23" s="17">
        <f t="shared" ref="AB23:AB35" si="8">SUM(S23:AA23)</f>
        <v>246.14999999999998</v>
      </c>
      <c r="AC23" s="66"/>
      <c r="AD23" s="24">
        <v>27.35</v>
      </c>
      <c r="AE23" s="24">
        <v>27.35</v>
      </c>
      <c r="AF23" s="24">
        <v>27.35</v>
      </c>
      <c r="AG23" s="19"/>
      <c r="AH23" s="19"/>
      <c r="AI23" s="20"/>
      <c r="AJ23" s="20"/>
      <c r="AK23" s="20"/>
      <c r="AL23" s="20"/>
      <c r="AM23" s="20"/>
      <c r="AN23" s="20"/>
      <c r="AO23" s="20"/>
      <c r="AP23" s="20"/>
      <c r="AQ23" s="20"/>
      <c r="AR23" s="20"/>
    </row>
    <row r="24" spans="1:44" ht="19.5" hidden="1" customHeight="1" x14ac:dyDescent="0.25">
      <c r="A24" s="32" t="s">
        <v>30</v>
      </c>
      <c r="B24" s="33">
        <v>45404</v>
      </c>
      <c r="C24" s="11" t="s">
        <v>5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30">
        <v>125</v>
      </c>
      <c r="U24" s="29">
        <v>125</v>
      </c>
      <c r="V24" s="28"/>
      <c r="W24" s="28"/>
      <c r="X24" s="28"/>
      <c r="Y24" s="28"/>
      <c r="Z24" s="28"/>
      <c r="AA24" s="28"/>
      <c r="AB24" s="17">
        <f t="shared" si="8"/>
        <v>250</v>
      </c>
      <c r="AC24" s="66"/>
      <c r="AD24" s="24"/>
      <c r="AE24" s="24"/>
      <c r="AF24" s="24"/>
      <c r="AG24" s="19"/>
      <c r="AH24" s="19"/>
      <c r="AI24" s="20"/>
      <c r="AJ24" s="20"/>
      <c r="AK24" s="20"/>
      <c r="AL24" s="20"/>
      <c r="AM24" s="20"/>
      <c r="AN24" s="20"/>
      <c r="AO24" s="20"/>
      <c r="AP24" s="20"/>
      <c r="AQ24" s="20"/>
      <c r="AR24" s="20"/>
    </row>
    <row r="25" spans="1:44" ht="19.5" hidden="1" customHeight="1" x14ac:dyDescent="0.25">
      <c r="A25" s="20" t="s">
        <v>31</v>
      </c>
      <c r="B25" s="33">
        <v>45402</v>
      </c>
      <c r="C25" s="11" t="s">
        <v>5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30">
        <v>88.65</v>
      </c>
      <c r="U25" s="29">
        <v>88.65</v>
      </c>
      <c r="V25" s="30">
        <v>88.65</v>
      </c>
      <c r="W25" s="28"/>
      <c r="X25" s="28"/>
      <c r="Y25" s="28"/>
      <c r="Z25" s="28"/>
      <c r="AA25" s="28"/>
      <c r="AB25" s="17">
        <f t="shared" si="8"/>
        <v>265.95000000000005</v>
      </c>
      <c r="AC25" s="66"/>
      <c r="AD25" s="24"/>
      <c r="AE25" s="24"/>
      <c r="AF25" s="24"/>
      <c r="AG25" s="19"/>
      <c r="AH25" s="19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spans="1:44" ht="19.5" hidden="1" customHeight="1" x14ac:dyDescent="0.25">
      <c r="A26" s="20" t="s">
        <v>32</v>
      </c>
      <c r="B26" s="34">
        <v>45427</v>
      </c>
      <c r="C26" s="11" t="s">
        <v>23</v>
      </c>
      <c r="D26" s="35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6"/>
      <c r="T26" s="28"/>
      <c r="U26" s="30">
        <v>393.96</v>
      </c>
      <c r="V26" s="29">
        <v>393.96</v>
      </c>
      <c r="W26" s="29">
        <v>393.96</v>
      </c>
      <c r="X26" s="29">
        <v>393.96</v>
      </c>
      <c r="Y26" s="29">
        <v>393.96</v>
      </c>
      <c r="Z26" s="28"/>
      <c r="AA26" s="28"/>
      <c r="AB26" s="17">
        <f t="shared" si="8"/>
        <v>1969.8</v>
      </c>
      <c r="AC26" s="66"/>
      <c r="AD26" s="24"/>
      <c r="AE26" s="24"/>
      <c r="AF26" s="24"/>
      <c r="AG26" s="19"/>
      <c r="AH26" s="19"/>
      <c r="AI26" s="20"/>
      <c r="AJ26" s="20"/>
      <c r="AK26" s="20"/>
      <c r="AL26" s="20"/>
      <c r="AM26" s="20"/>
      <c r="AN26" s="20"/>
      <c r="AO26" s="20"/>
      <c r="AP26" s="20"/>
      <c r="AQ26" s="20"/>
      <c r="AR26" s="20"/>
    </row>
    <row r="27" spans="1:44" ht="19.5" hidden="1" customHeight="1" x14ac:dyDescent="0.25">
      <c r="A27" s="20" t="s">
        <v>33</v>
      </c>
      <c r="B27" s="34">
        <v>45439</v>
      </c>
      <c r="C27" s="11" t="s">
        <v>23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8"/>
      <c r="U27" s="30">
        <v>175</v>
      </c>
      <c r="V27" s="29">
        <v>175</v>
      </c>
      <c r="W27" s="28"/>
      <c r="X27" s="28"/>
      <c r="Y27" s="28"/>
      <c r="Z27" s="28"/>
      <c r="AA27" s="28"/>
      <c r="AB27" s="17">
        <f t="shared" si="8"/>
        <v>350</v>
      </c>
      <c r="AC27" s="66"/>
      <c r="AD27" s="24"/>
      <c r="AE27" s="24"/>
      <c r="AF27" s="24"/>
      <c r="AG27" s="19"/>
      <c r="AH27" s="19"/>
      <c r="AI27" s="20"/>
      <c r="AJ27" s="20"/>
      <c r="AK27" s="20"/>
      <c r="AL27" s="20"/>
      <c r="AM27" s="20"/>
      <c r="AN27" s="20"/>
      <c r="AO27" s="20"/>
      <c r="AP27" s="20"/>
      <c r="AQ27" s="20"/>
      <c r="AR27" s="20"/>
    </row>
    <row r="28" spans="1:44" ht="19.5" hidden="1" customHeight="1" x14ac:dyDescent="0.25">
      <c r="A28" s="20" t="s">
        <v>34</v>
      </c>
      <c r="B28" s="34">
        <v>45454</v>
      </c>
      <c r="C28" s="11" t="s">
        <v>23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8"/>
      <c r="U28" s="28"/>
      <c r="V28" s="29">
        <v>256.08</v>
      </c>
      <c r="W28" s="28"/>
      <c r="X28" s="28"/>
      <c r="Y28" s="28"/>
      <c r="Z28" s="28"/>
      <c r="AA28" s="28"/>
      <c r="AB28" s="17">
        <f t="shared" si="8"/>
        <v>256.08</v>
      </c>
      <c r="AC28" s="66"/>
      <c r="AD28" s="24"/>
      <c r="AE28" s="24"/>
      <c r="AF28" s="24"/>
      <c r="AG28" s="19"/>
      <c r="AH28" s="19"/>
      <c r="AI28" s="20"/>
      <c r="AJ28" s="20"/>
      <c r="AK28" s="20"/>
      <c r="AL28" s="20"/>
      <c r="AM28" s="20"/>
      <c r="AN28" s="20"/>
      <c r="AO28" s="20"/>
      <c r="AP28" s="20"/>
      <c r="AQ28" s="20"/>
      <c r="AR28" s="20"/>
    </row>
    <row r="29" spans="1:44" ht="19.5" hidden="1" customHeight="1" x14ac:dyDescent="0.25">
      <c r="A29" s="20" t="s">
        <v>35</v>
      </c>
      <c r="B29" s="33">
        <v>45528</v>
      </c>
      <c r="C29" s="20" t="s">
        <v>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8"/>
      <c r="U29" s="28"/>
      <c r="V29" s="19"/>
      <c r="W29" s="19"/>
      <c r="X29" s="29">
        <v>292.08999999999997</v>
      </c>
      <c r="Y29" s="29">
        <v>292.08999999999997</v>
      </c>
      <c r="Z29" s="31">
        <v>292.08999999999997</v>
      </c>
      <c r="AA29" s="31">
        <v>292.08999999999997</v>
      </c>
      <c r="AB29" s="17">
        <f t="shared" si="8"/>
        <v>1168.3599999999999</v>
      </c>
      <c r="AC29" s="66"/>
      <c r="AD29" s="24"/>
      <c r="AE29" s="24"/>
      <c r="AF29" s="24"/>
      <c r="AG29" s="19"/>
      <c r="AH29" s="19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19.5" hidden="1" customHeight="1" x14ac:dyDescent="0.25">
      <c r="A30" s="20" t="s">
        <v>36</v>
      </c>
      <c r="B30" s="33"/>
      <c r="C30" s="20" t="s">
        <v>37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8"/>
      <c r="U30" s="28"/>
      <c r="V30" s="19"/>
      <c r="W30" s="19"/>
      <c r="X30" s="29">
        <v>117.1</v>
      </c>
      <c r="Y30" s="29">
        <v>117.1</v>
      </c>
      <c r="Z30" s="29">
        <v>117.1</v>
      </c>
      <c r="AA30" s="37"/>
      <c r="AB30" s="17">
        <f t="shared" si="8"/>
        <v>351.29999999999995</v>
      </c>
      <c r="AC30" s="66"/>
      <c r="AD30" s="24"/>
      <c r="AE30" s="24"/>
      <c r="AF30" s="24"/>
      <c r="AG30" s="19"/>
      <c r="AH30" s="19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 ht="19.5" hidden="1" customHeight="1" x14ac:dyDescent="0.25">
      <c r="A31" s="20" t="s">
        <v>38</v>
      </c>
      <c r="B31" s="33">
        <v>45553</v>
      </c>
      <c r="C31" s="20" t="s">
        <v>39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29">
        <v>100</v>
      </c>
      <c r="Y31" s="37"/>
      <c r="Z31" s="37"/>
      <c r="AA31" s="37"/>
      <c r="AB31" s="17">
        <f t="shared" si="8"/>
        <v>100</v>
      </c>
      <c r="AC31" s="66"/>
      <c r="AD31" s="24"/>
      <c r="AE31" s="24"/>
      <c r="AF31" s="24"/>
      <c r="AG31" s="19"/>
      <c r="AH31" s="19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  <row r="32" spans="1:44" ht="19.5" hidden="1" customHeight="1" x14ac:dyDescent="0.5">
      <c r="A32" s="20" t="s">
        <v>40</v>
      </c>
      <c r="B32" s="33">
        <v>45553</v>
      </c>
      <c r="C32" s="20" t="s">
        <v>41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9" t="s">
        <v>42</v>
      </c>
      <c r="W32" s="40" t="s">
        <v>43</v>
      </c>
      <c r="X32" s="37"/>
      <c r="Y32" s="29">
        <v>75.47</v>
      </c>
      <c r="Z32" s="37"/>
      <c r="AA32" s="37"/>
      <c r="AB32" s="17">
        <f t="shared" si="8"/>
        <v>75.47</v>
      </c>
      <c r="AC32" s="66"/>
      <c r="AD32" s="24"/>
      <c r="AE32" s="24"/>
      <c r="AF32" s="24"/>
      <c r="AG32" s="19"/>
      <c r="AH32" s="19"/>
      <c r="AI32" s="20"/>
      <c r="AJ32" s="20"/>
      <c r="AK32" s="20"/>
      <c r="AL32" s="20"/>
      <c r="AM32" s="20"/>
      <c r="AN32" s="20"/>
      <c r="AO32" s="20"/>
      <c r="AP32" s="20"/>
      <c r="AQ32" s="20"/>
      <c r="AR32" s="20"/>
    </row>
    <row r="33" spans="1:44" ht="19.5" hidden="1" customHeight="1" x14ac:dyDescent="0.25">
      <c r="A33" s="20" t="s">
        <v>44</v>
      </c>
      <c r="B33" s="33">
        <v>45554</v>
      </c>
      <c r="C33" s="20" t="s">
        <v>39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9">
        <v>300</v>
      </c>
      <c r="Y33" s="37"/>
      <c r="Z33" s="37"/>
      <c r="AA33" s="37"/>
      <c r="AB33" s="17">
        <f t="shared" si="8"/>
        <v>300</v>
      </c>
      <c r="AC33" s="66"/>
      <c r="AD33" s="24"/>
      <c r="AE33" s="24"/>
      <c r="AF33" s="24"/>
      <c r="AG33" s="19"/>
      <c r="AH33" s="19"/>
      <c r="AI33" s="20"/>
      <c r="AJ33" s="20"/>
      <c r="AK33" s="20"/>
      <c r="AL33" s="20"/>
      <c r="AM33" s="20"/>
      <c r="AN33" s="20"/>
      <c r="AO33" s="20"/>
      <c r="AP33" s="20"/>
      <c r="AQ33" s="20"/>
      <c r="AR33" s="20"/>
    </row>
    <row r="34" spans="1:44" ht="19.5" hidden="1" customHeight="1" x14ac:dyDescent="0.25">
      <c r="A34" s="20" t="s">
        <v>45</v>
      </c>
      <c r="B34" s="33">
        <v>45559</v>
      </c>
      <c r="C34" s="20" t="s">
        <v>41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37"/>
      <c r="Y34" s="29">
        <v>59.9</v>
      </c>
      <c r="Z34" s="37"/>
      <c r="AA34" s="37"/>
      <c r="AB34" s="17">
        <f t="shared" si="8"/>
        <v>59.9</v>
      </c>
      <c r="AC34" s="66"/>
      <c r="AD34" s="24"/>
      <c r="AE34" s="24"/>
      <c r="AF34" s="24"/>
      <c r="AG34" s="19"/>
      <c r="AH34" s="19"/>
      <c r="AI34" s="20"/>
      <c r="AJ34" s="20"/>
      <c r="AK34" s="20"/>
      <c r="AL34" s="20"/>
      <c r="AM34" s="20"/>
      <c r="AN34" s="20"/>
      <c r="AO34" s="20"/>
      <c r="AP34" s="20"/>
      <c r="AQ34" s="20"/>
      <c r="AR34" s="20"/>
    </row>
    <row r="35" spans="1:44" ht="19.5" hidden="1" customHeight="1" x14ac:dyDescent="0.25">
      <c r="A35" s="20" t="s">
        <v>46</v>
      </c>
      <c r="B35" s="34">
        <v>45574</v>
      </c>
      <c r="C35" s="11" t="s">
        <v>23</v>
      </c>
      <c r="D35" s="19"/>
      <c r="E35" s="19"/>
      <c r="F35" s="19"/>
      <c r="G35" s="19"/>
      <c r="H35" s="19"/>
      <c r="I35" s="19"/>
      <c r="J35" s="19"/>
      <c r="K35" s="19"/>
      <c r="L35" s="41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37"/>
      <c r="Y35" s="37"/>
      <c r="Z35" s="29">
        <v>83.67</v>
      </c>
      <c r="AA35" s="37"/>
      <c r="AB35" s="17">
        <f t="shared" si="8"/>
        <v>83.67</v>
      </c>
      <c r="AC35" s="66"/>
      <c r="AD35" s="24"/>
      <c r="AE35" s="24"/>
      <c r="AF35" s="24"/>
      <c r="AG35" s="19"/>
      <c r="AH35" s="19"/>
      <c r="AI35" s="20"/>
      <c r="AJ35" s="20"/>
      <c r="AK35" s="20"/>
      <c r="AL35" s="20"/>
      <c r="AM35" s="20"/>
      <c r="AN35" s="20"/>
      <c r="AO35" s="20"/>
      <c r="AP35" s="20"/>
      <c r="AQ35" s="20"/>
      <c r="AR35" s="20"/>
    </row>
    <row r="36" spans="1:44" ht="19.5" hidden="1" customHeight="1" x14ac:dyDescent="0.25">
      <c r="A36" s="20" t="s">
        <v>44</v>
      </c>
      <c r="B36" s="33">
        <v>45574</v>
      </c>
      <c r="C36" s="20" t="s">
        <v>10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37"/>
      <c r="Y36" s="29">
        <v>50</v>
      </c>
      <c r="Z36" s="37"/>
      <c r="AA36" s="22">
        <f t="shared" ref="AA36:AB36" si="9">SUM(R36:Z36)</f>
        <v>50</v>
      </c>
      <c r="AB36" s="17">
        <f t="shared" si="9"/>
        <v>100</v>
      </c>
      <c r="AC36" s="66"/>
      <c r="AD36" s="24"/>
      <c r="AE36" s="24"/>
      <c r="AF36" s="24"/>
      <c r="AG36" s="19"/>
      <c r="AH36" s="19"/>
      <c r="AI36" s="20"/>
      <c r="AJ36" s="20"/>
      <c r="AK36" s="20"/>
      <c r="AL36" s="20"/>
      <c r="AM36" s="20"/>
      <c r="AN36" s="20"/>
      <c r="AO36" s="20"/>
      <c r="AP36" s="20"/>
      <c r="AQ36" s="20"/>
      <c r="AR36" s="20"/>
    </row>
    <row r="37" spans="1:44" ht="19.5" hidden="1" customHeight="1" x14ac:dyDescent="0.25">
      <c r="A37" s="20" t="s">
        <v>47</v>
      </c>
      <c r="B37" s="33">
        <v>45619</v>
      </c>
      <c r="C37" s="20" t="s">
        <v>5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37"/>
      <c r="Z37" s="37"/>
      <c r="AA37" s="31">
        <v>69.900000000000006</v>
      </c>
      <c r="AB37" s="17">
        <f t="shared" ref="AB37:AB40" si="10">SUM(S37:AA37)</f>
        <v>69.900000000000006</v>
      </c>
      <c r="AC37" s="66"/>
      <c r="AD37" s="24"/>
      <c r="AE37" s="24"/>
      <c r="AF37" s="24"/>
      <c r="AG37" s="19"/>
      <c r="AH37" s="19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19.5" hidden="1" customHeight="1" x14ac:dyDescent="0.25">
      <c r="A38" s="20" t="s">
        <v>48</v>
      </c>
      <c r="B38" s="33">
        <v>45621</v>
      </c>
      <c r="C38" s="20" t="s">
        <v>10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37"/>
      <c r="Z38" s="37"/>
      <c r="AA38" s="31">
        <v>30</v>
      </c>
      <c r="AB38" s="17">
        <f t="shared" si="10"/>
        <v>30</v>
      </c>
      <c r="AC38" s="66"/>
      <c r="AD38" s="24"/>
      <c r="AE38" s="24"/>
      <c r="AF38" s="24"/>
      <c r="AG38" s="19"/>
      <c r="AH38" s="19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spans="1:44" ht="19.5" customHeight="1" x14ac:dyDescent="0.25">
      <c r="A39" s="20" t="s">
        <v>49</v>
      </c>
      <c r="B39" s="33">
        <v>45623</v>
      </c>
      <c r="C39" s="20" t="s">
        <v>5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37"/>
      <c r="AA39" s="31">
        <v>145</v>
      </c>
      <c r="AB39" s="17">
        <f t="shared" si="10"/>
        <v>145</v>
      </c>
      <c r="AC39" s="66"/>
      <c r="AD39" s="24">
        <v>145</v>
      </c>
      <c r="AE39" s="24">
        <v>145</v>
      </c>
      <c r="AF39" s="24">
        <v>145</v>
      </c>
      <c r="AG39" s="24">
        <v>145</v>
      </c>
      <c r="AH39" s="24">
        <v>145</v>
      </c>
      <c r="AI39" s="24">
        <v>145</v>
      </c>
      <c r="AJ39" s="24">
        <v>145</v>
      </c>
      <c r="AK39" s="24">
        <v>145</v>
      </c>
      <c r="AL39" s="68">
        <v>145</v>
      </c>
      <c r="AM39" s="25"/>
      <c r="AN39" s="25"/>
      <c r="AO39" s="25"/>
      <c r="AP39" s="25"/>
      <c r="AQ39" s="25"/>
      <c r="AR39" s="20"/>
    </row>
    <row r="40" spans="1:44" ht="19.5" customHeight="1" x14ac:dyDescent="0.25">
      <c r="A40" s="20" t="s">
        <v>50</v>
      </c>
      <c r="B40" s="34">
        <v>45640</v>
      </c>
      <c r="C40" s="20" t="s">
        <v>23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31">
        <v>112.66</v>
      </c>
      <c r="AB40" s="17">
        <f t="shared" si="10"/>
        <v>112.66</v>
      </c>
      <c r="AC40" s="66"/>
      <c r="AD40" s="24">
        <v>112.66</v>
      </c>
      <c r="AE40" s="24">
        <v>112.66</v>
      </c>
      <c r="AF40" s="24"/>
      <c r="AG40" s="24"/>
      <c r="AH40" s="24"/>
      <c r="AI40" s="25"/>
      <c r="AJ40" s="25"/>
      <c r="AK40" s="25"/>
      <c r="AL40" s="69"/>
      <c r="AM40" s="25"/>
      <c r="AN40" s="25"/>
      <c r="AO40" s="25"/>
      <c r="AP40" s="25"/>
      <c r="AQ40" s="25"/>
      <c r="AR40" s="20"/>
    </row>
    <row r="41" spans="1:44" ht="19.5" customHeight="1" x14ac:dyDescent="0.25">
      <c r="A41" s="20" t="s">
        <v>51</v>
      </c>
      <c r="B41" s="33">
        <v>45684</v>
      </c>
      <c r="C41" s="20" t="s">
        <v>5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7">
        <v>845</v>
      </c>
      <c r="AC41" s="66"/>
      <c r="AD41" s="24"/>
      <c r="AE41" s="24">
        <v>211.25</v>
      </c>
      <c r="AF41" s="24">
        <v>211.25</v>
      </c>
      <c r="AG41" s="24">
        <v>211.25</v>
      </c>
      <c r="AH41" s="24">
        <v>211.25</v>
      </c>
      <c r="AI41" s="25"/>
      <c r="AJ41" s="25"/>
      <c r="AK41" s="25"/>
      <c r="AL41" s="69"/>
      <c r="AM41" s="25"/>
      <c r="AN41" s="25"/>
      <c r="AO41" s="25"/>
      <c r="AP41" s="25"/>
      <c r="AQ41" s="25"/>
      <c r="AR41" s="20"/>
    </row>
    <row r="42" spans="1:44" ht="19.5" customHeight="1" x14ac:dyDescent="0.25">
      <c r="A42" s="20" t="s">
        <v>52</v>
      </c>
      <c r="B42" s="33">
        <v>45689</v>
      </c>
      <c r="C42" s="20" t="s">
        <v>5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>
        <v>2668</v>
      </c>
      <c r="AC42" s="66"/>
      <c r="AD42" s="24"/>
      <c r="AE42" s="24">
        <v>533.6</v>
      </c>
      <c r="AF42" s="24">
        <v>533.6</v>
      </c>
      <c r="AG42" s="24">
        <v>533.6</v>
      </c>
      <c r="AH42" s="24">
        <v>533.6</v>
      </c>
      <c r="AI42" s="24">
        <v>533.6</v>
      </c>
      <c r="AJ42" s="25"/>
      <c r="AK42" s="25"/>
      <c r="AL42" s="69"/>
      <c r="AM42" s="25"/>
      <c r="AN42" s="25"/>
      <c r="AO42" s="25"/>
      <c r="AP42" s="25"/>
      <c r="AQ42" s="25"/>
      <c r="AR42" s="20"/>
    </row>
    <row r="43" spans="1:44" ht="19.5" customHeight="1" x14ac:dyDescent="0.25">
      <c r="A43" s="20" t="s">
        <v>53</v>
      </c>
      <c r="B43" s="34">
        <v>45692</v>
      </c>
      <c r="C43" s="20" t="s">
        <v>23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>
        <v>49</v>
      </c>
      <c r="AC43" s="67"/>
      <c r="AD43" s="24"/>
      <c r="AE43" s="24">
        <v>134</v>
      </c>
      <c r="AF43" s="24"/>
      <c r="AG43" s="24"/>
      <c r="AH43" s="24"/>
      <c r="AI43" s="25"/>
      <c r="AJ43" s="25"/>
      <c r="AK43" s="25"/>
      <c r="AL43" s="69"/>
      <c r="AM43" s="25"/>
      <c r="AN43" s="25"/>
      <c r="AO43" s="25"/>
      <c r="AP43" s="25"/>
      <c r="AQ43" s="25"/>
      <c r="AR43" s="20"/>
    </row>
    <row r="44" spans="1:44" ht="19.5" customHeight="1" x14ac:dyDescent="0.25">
      <c r="A44" s="20" t="s">
        <v>54</v>
      </c>
      <c r="B44" s="33">
        <v>45696</v>
      </c>
      <c r="C44" s="20" t="s">
        <v>10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>
        <v>2787</v>
      </c>
      <c r="AC44" s="42"/>
      <c r="AD44" s="24"/>
      <c r="AE44" s="24">
        <v>2787</v>
      </c>
      <c r="AF44" s="24"/>
      <c r="AG44" s="24"/>
      <c r="AH44" s="24"/>
      <c r="AI44" s="24"/>
      <c r="AJ44" s="24"/>
      <c r="AK44" s="24"/>
      <c r="AL44" s="70"/>
      <c r="AM44" s="24"/>
      <c r="AN44" s="24"/>
      <c r="AO44" s="24"/>
      <c r="AP44" s="25"/>
      <c r="AQ44" s="25"/>
      <c r="AR44" s="20"/>
    </row>
    <row r="45" spans="1:44" ht="19.5" customHeight="1" x14ac:dyDescent="0.25">
      <c r="A45" s="20" t="s">
        <v>55</v>
      </c>
      <c r="B45" s="33">
        <v>45719</v>
      </c>
      <c r="C45" s="20" t="s">
        <v>5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43"/>
      <c r="AD45" s="24"/>
      <c r="AE45" s="24"/>
      <c r="AF45" s="24">
        <v>497.68</v>
      </c>
      <c r="AG45" s="24"/>
      <c r="AH45" s="24"/>
      <c r="AI45" s="24"/>
      <c r="AJ45" s="24"/>
      <c r="AK45" s="24"/>
      <c r="AL45" s="70"/>
      <c r="AM45" s="24"/>
      <c r="AN45" s="24"/>
      <c r="AO45" s="24"/>
      <c r="AP45" s="25"/>
      <c r="AQ45" s="25"/>
      <c r="AR45" s="20"/>
    </row>
    <row r="46" spans="1:44" ht="19.5" customHeight="1" x14ac:dyDescent="0.25">
      <c r="A46" s="11" t="s">
        <v>28</v>
      </c>
      <c r="B46" s="26">
        <v>45716</v>
      </c>
      <c r="C46" s="11" t="s">
        <v>23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>
        <v>207.63</v>
      </c>
      <c r="AC46" s="42"/>
      <c r="AD46" s="44"/>
      <c r="AE46" s="44"/>
      <c r="AF46" s="24"/>
      <c r="AG46" s="24">
        <v>34.6</v>
      </c>
      <c r="AH46" s="24">
        <v>17.3</v>
      </c>
      <c r="AI46" s="24">
        <v>17.3</v>
      </c>
      <c r="AJ46" s="24">
        <v>17.3</v>
      </c>
      <c r="AK46" s="24">
        <v>17.3</v>
      </c>
      <c r="AL46" s="70">
        <v>17.3</v>
      </c>
      <c r="AM46" s="24">
        <v>17.3</v>
      </c>
      <c r="AN46" s="19">
        <v>17.3</v>
      </c>
      <c r="AO46" s="19">
        <v>17.3</v>
      </c>
      <c r="AP46" s="19">
        <v>17.3</v>
      </c>
      <c r="AQ46" s="19">
        <v>17.3</v>
      </c>
      <c r="AR46" s="20"/>
    </row>
    <row r="47" spans="1:44" ht="19.5" customHeight="1" x14ac:dyDescent="0.25">
      <c r="A47" s="27" t="s">
        <v>29</v>
      </c>
      <c r="B47" s="26">
        <v>45716</v>
      </c>
      <c r="C47" s="11" t="s">
        <v>23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45"/>
      <c r="AD47" s="44"/>
      <c r="AE47" s="44"/>
      <c r="AF47" s="24">
        <v>310.5</v>
      </c>
      <c r="AG47" s="24">
        <v>310.5</v>
      </c>
      <c r="AH47" s="24">
        <v>310.5</v>
      </c>
      <c r="AI47" s="24">
        <v>310.5</v>
      </c>
      <c r="AJ47" s="24">
        <v>310.5</v>
      </c>
      <c r="AK47" s="24">
        <v>310.5</v>
      </c>
      <c r="AL47" s="70">
        <v>310.5</v>
      </c>
      <c r="AM47" s="24">
        <v>310.5</v>
      </c>
      <c r="AN47" s="19">
        <v>310.5</v>
      </c>
      <c r="AO47" s="19">
        <v>310.5</v>
      </c>
      <c r="AP47" s="19">
        <v>310.5</v>
      </c>
      <c r="AQ47" s="19">
        <v>310.5</v>
      </c>
      <c r="AR47" s="20"/>
    </row>
    <row r="48" spans="1:44" ht="19.5" customHeight="1" x14ac:dyDescent="0.25">
      <c r="A48" s="20" t="s">
        <v>56</v>
      </c>
      <c r="B48" s="33"/>
      <c r="C48" s="20" t="s">
        <v>5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46"/>
      <c r="AD48" s="44"/>
      <c r="AE48" s="44"/>
      <c r="AF48" s="24"/>
      <c r="AG48" s="24"/>
      <c r="AH48" s="24"/>
      <c r="AI48" s="24"/>
      <c r="AJ48" s="24"/>
      <c r="AK48" s="47">
        <v>95</v>
      </c>
      <c r="AL48" s="71">
        <v>95</v>
      </c>
      <c r="AM48" s="48">
        <v>95</v>
      </c>
      <c r="AN48" s="19"/>
      <c r="AO48" s="19"/>
      <c r="AP48" s="19"/>
      <c r="AQ48" s="19"/>
      <c r="AR48" s="20"/>
    </row>
    <row r="49" spans="1:44" ht="19.5" hidden="1" customHeight="1" x14ac:dyDescent="0.25">
      <c r="A49" s="20" t="s">
        <v>57</v>
      </c>
      <c r="B49" s="33"/>
      <c r="C49" s="20" t="s">
        <v>5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46"/>
      <c r="AD49" s="44"/>
      <c r="AE49" s="44"/>
      <c r="AF49" s="24"/>
      <c r="AG49" s="24"/>
      <c r="AH49" s="24"/>
      <c r="AI49" s="24"/>
      <c r="AJ49" s="24">
        <v>130</v>
      </c>
      <c r="AK49" s="24">
        <v>130</v>
      </c>
      <c r="AL49" s="72"/>
      <c r="AM49" s="19"/>
      <c r="AN49" s="19"/>
      <c r="AO49" s="19"/>
      <c r="AP49" s="19"/>
      <c r="AQ49" s="19"/>
      <c r="AR49" s="20"/>
    </row>
    <row r="50" spans="1:44" ht="19.5" hidden="1" customHeight="1" x14ac:dyDescent="0.25">
      <c r="A50" s="49" t="s">
        <v>58</v>
      </c>
      <c r="B50" s="20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43"/>
      <c r="AD50" s="44"/>
      <c r="AE50" s="44"/>
      <c r="AF50" s="44"/>
      <c r="AG50" s="44"/>
      <c r="AH50" s="44"/>
      <c r="AI50" s="24"/>
      <c r="AJ50" s="25"/>
      <c r="AK50" s="25"/>
      <c r="AL50" s="73"/>
      <c r="AM50" s="20"/>
      <c r="AN50" s="20"/>
      <c r="AO50" s="20"/>
      <c r="AP50" s="20"/>
      <c r="AQ50" s="20"/>
      <c r="AR50" s="20"/>
    </row>
    <row r="51" spans="1:44" ht="19.5" hidden="1" customHeight="1" x14ac:dyDescent="0.25">
      <c r="A51" s="20" t="s">
        <v>59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43"/>
      <c r="AD51" s="50"/>
      <c r="AE51" s="50"/>
      <c r="AF51" s="50"/>
      <c r="AG51" s="51"/>
      <c r="AH51" s="52"/>
      <c r="AI51" s="24">
        <v>114</v>
      </c>
      <c r="AJ51" s="24">
        <v>114</v>
      </c>
      <c r="AK51" s="24">
        <v>114</v>
      </c>
      <c r="AL51" s="73"/>
      <c r="AM51" s="20"/>
      <c r="AN51" s="20"/>
      <c r="AO51" s="20"/>
      <c r="AP51" s="20"/>
      <c r="AQ51" s="20"/>
      <c r="AR51" s="20"/>
    </row>
    <row r="52" spans="1:44" ht="19.5" hidden="1" customHeight="1" x14ac:dyDescent="0.25">
      <c r="A52" s="20" t="s">
        <v>60</v>
      </c>
      <c r="B52" s="20"/>
      <c r="C52" s="20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43"/>
      <c r="AD52" s="19"/>
      <c r="AE52" s="19"/>
      <c r="AF52" s="19"/>
      <c r="AG52" s="19"/>
      <c r="AH52" s="19"/>
      <c r="AI52" s="24">
        <v>114</v>
      </c>
      <c r="AJ52" s="20"/>
      <c r="AK52" s="20"/>
      <c r="AL52" s="73"/>
      <c r="AM52" s="20"/>
      <c r="AN52" s="20"/>
      <c r="AO52" s="20"/>
      <c r="AP52" s="20"/>
      <c r="AQ52" s="20"/>
      <c r="AR52" s="20"/>
    </row>
    <row r="53" spans="1:44" ht="19.5" hidden="1" customHeight="1" x14ac:dyDescent="0.25">
      <c r="A53" s="20" t="s">
        <v>61</v>
      </c>
      <c r="B53" s="20"/>
      <c r="C53" s="2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43"/>
      <c r="AD53" s="19"/>
      <c r="AE53" s="19"/>
      <c r="AF53" s="19"/>
      <c r="AG53" s="19"/>
      <c r="AH53" s="19"/>
      <c r="AI53" s="24">
        <v>114</v>
      </c>
      <c r="AJ53" s="20"/>
      <c r="AK53" s="20"/>
      <c r="AL53" s="73"/>
      <c r="AM53" s="20"/>
      <c r="AN53" s="20"/>
      <c r="AO53" s="20"/>
      <c r="AP53" s="20"/>
      <c r="AQ53" s="20"/>
      <c r="AR53" s="20"/>
    </row>
    <row r="54" spans="1:44" ht="19.5" customHeight="1" x14ac:dyDescent="0.25">
      <c r="A54" s="20" t="s">
        <v>62</v>
      </c>
      <c r="B54" s="33">
        <v>45895</v>
      </c>
      <c r="C54" s="20" t="s">
        <v>63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43"/>
      <c r="AD54" s="19"/>
      <c r="AE54" s="19"/>
      <c r="AF54" s="19"/>
      <c r="AG54" s="19"/>
      <c r="AH54" s="19"/>
      <c r="AI54" s="19"/>
      <c r="AJ54" s="25"/>
      <c r="AK54" s="25"/>
      <c r="AL54" s="74">
        <v>131.86000000000001</v>
      </c>
      <c r="AM54" s="53">
        <v>131.86000000000001</v>
      </c>
      <c r="AN54" s="53">
        <v>131.86000000000001</v>
      </c>
      <c r="AO54" s="53">
        <v>131.86000000000001</v>
      </c>
      <c r="AP54" s="53">
        <v>131.86000000000001</v>
      </c>
      <c r="AQ54" s="53">
        <v>131.86000000000001</v>
      </c>
      <c r="AR54" s="53">
        <v>131.86000000000001</v>
      </c>
    </row>
    <row r="55" spans="1:44" ht="19.5" customHeight="1" x14ac:dyDescent="0.25">
      <c r="A55" s="54" t="s">
        <v>64</v>
      </c>
      <c r="B55" s="55">
        <v>45974</v>
      </c>
      <c r="C55" s="54" t="s">
        <v>63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43"/>
      <c r="AD55" s="19"/>
      <c r="AE55" s="19"/>
      <c r="AF55" s="19"/>
      <c r="AG55" s="19"/>
      <c r="AH55" s="19"/>
      <c r="AI55" s="19"/>
      <c r="AJ55" s="20"/>
      <c r="AK55" s="20"/>
      <c r="AL55" s="53"/>
      <c r="AM55" s="53"/>
      <c r="AN55" s="53"/>
      <c r="AO55" s="56">
        <v>5424.36</v>
      </c>
      <c r="AP55" s="53"/>
      <c r="AQ55" s="53"/>
      <c r="AR55" s="53"/>
    </row>
    <row r="56" spans="1:44" ht="19.5" customHeight="1" x14ac:dyDescent="0.25">
      <c r="A56" s="54" t="s">
        <v>65</v>
      </c>
      <c r="B56" s="55">
        <v>45971</v>
      </c>
      <c r="C56" s="20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43"/>
      <c r="AD56" s="19"/>
      <c r="AE56" s="19"/>
      <c r="AF56" s="19"/>
      <c r="AG56" s="36"/>
      <c r="AH56" s="19"/>
      <c r="AI56" s="20"/>
      <c r="AJ56" s="20"/>
      <c r="AK56" s="20"/>
      <c r="AL56" s="53"/>
      <c r="AM56" s="53"/>
      <c r="AN56" s="56">
        <v>35</v>
      </c>
      <c r="AO56" s="53"/>
      <c r="AP56" s="53"/>
      <c r="AQ56" s="53"/>
      <c r="AR56" s="53"/>
    </row>
    <row r="57" spans="1:44" ht="19.5" customHeight="1" x14ac:dyDescent="0.25">
      <c r="A57" s="54" t="s">
        <v>66</v>
      </c>
      <c r="B57" s="20"/>
      <c r="C57" s="20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43"/>
      <c r="AD57" s="19"/>
      <c r="AE57" s="19"/>
      <c r="AF57" s="19"/>
      <c r="AG57" s="19"/>
      <c r="AH57" s="19"/>
      <c r="AI57" s="20"/>
      <c r="AJ57" s="20"/>
      <c r="AK57" s="20"/>
      <c r="AL57" s="53"/>
      <c r="AM57" s="53"/>
      <c r="AN57" s="53"/>
      <c r="AO57" s="53"/>
      <c r="AP57" s="53"/>
      <c r="AQ57" s="53"/>
      <c r="AR57" s="53"/>
    </row>
    <row r="58" spans="1:44" ht="19.5" customHeight="1" x14ac:dyDescent="0.25">
      <c r="A58" s="54" t="s">
        <v>67</v>
      </c>
      <c r="B58" s="20"/>
      <c r="C58" s="20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43"/>
      <c r="AD58" s="19"/>
      <c r="AE58" s="19"/>
      <c r="AF58" s="19"/>
      <c r="AG58" s="19"/>
      <c r="AH58" s="19"/>
      <c r="AI58" s="20"/>
      <c r="AJ58" s="20"/>
      <c r="AK58" s="20"/>
      <c r="AL58" s="53"/>
      <c r="AM58" s="53"/>
      <c r="AN58" s="53"/>
      <c r="AO58" s="53"/>
      <c r="AP58" s="53"/>
      <c r="AQ58" s="53"/>
      <c r="AR58" s="53"/>
    </row>
    <row r="59" spans="1:44" ht="19.5" customHeight="1" x14ac:dyDescent="0.25">
      <c r="A59" s="54" t="s">
        <v>68</v>
      </c>
      <c r="B59" s="57">
        <v>45939</v>
      </c>
      <c r="C59" s="54" t="s">
        <v>69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43"/>
      <c r="AD59" s="19"/>
      <c r="AE59" s="19"/>
      <c r="AF59" s="19"/>
      <c r="AG59" s="19"/>
      <c r="AH59" s="19"/>
      <c r="AI59" s="20"/>
      <c r="AJ59" s="20"/>
      <c r="AK59" s="20"/>
      <c r="AL59" s="53"/>
      <c r="AM59" s="53"/>
      <c r="AN59" s="56">
        <v>283.24</v>
      </c>
      <c r="AO59" s="56">
        <v>283.24</v>
      </c>
      <c r="AP59" s="56">
        <v>283.24</v>
      </c>
      <c r="AQ59" s="53"/>
      <c r="AR59" s="53"/>
    </row>
    <row r="60" spans="1:44" ht="19.5" customHeight="1" x14ac:dyDescent="0.25">
      <c r="A60" s="54" t="s">
        <v>70</v>
      </c>
      <c r="B60" s="57">
        <v>45939</v>
      </c>
      <c r="C60" s="54" t="s">
        <v>69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43"/>
      <c r="AD60" s="19"/>
      <c r="AE60" s="19"/>
      <c r="AF60" s="19"/>
      <c r="AG60" s="19"/>
      <c r="AH60" s="19"/>
      <c r="AI60" s="20"/>
      <c r="AJ60" s="20"/>
      <c r="AK60" s="20"/>
      <c r="AL60" s="53"/>
      <c r="AM60" s="53"/>
      <c r="AN60" s="56">
        <v>204.08</v>
      </c>
      <c r="AO60" s="25"/>
      <c r="AP60" s="25"/>
      <c r="AQ60" s="25"/>
      <c r="AR60" s="25"/>
    </row>
    <row r="61" spans="1:44" ht="19.5" customHeight="1" x14ac:dyDescent="0.25">
      <c r="A61" s="54" t="s">
        <v>71</v>
      </c>
      <c r="B61" s="57">
        <v>45939</v>
      </c>
      <c r="C61" s="54" t="s">
        <v>69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43"/>
      <c r="AD61" s="19"/>
      <c r="AE61" s="19"/>
      <c r="AF61" s="19"/>
      <c r="AG61" s="19"/>
      <c r="AH61" s="19"/>
      <c r="AI61" s="20"/>
      <c r="AJ61" s="20"/>
      <c r="AK61" s="20"/>
      <c r="AL61" s="20"/>
      <c r="AM61" s="20"/>
      <c r="AN61" s="19">
        <v>250.86</v>
      </c>
      <c r="AO61" s="19">
        <v>250.86</v>
      </c>
      <c r="AP61" s="19">
        <v>250.86</v>
      </c>
      <c r="AQ61" s="20"/>
      <c r="AR61" s="20"/>
    </row>
    <row r="62" spans="1:44" ht="19.5" customHeight="1" x14ac:dyDescent="0.25">
      <c r="A62" s="20"/>
      <c r="B62" s="20"/>
      <c r="C62" s="2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43"/>
      <c r="AD62" s="19"/>
      <c r="AE62" s="19"/>
      <c r="AF62" s="19"/>
      <c r="AG62" s="19"/>
      <c r="AH62" s="19"/>
      <c r="AI62" s="20"/>
      <c r="AJ62" s="20"/>
      <c r="AK62" s="20"/>
      <c r="AL62" s="20"/>
      <c r="AM62" s="20"/>
      <c r="AN62" s="20"/>
      <c r="AO62" s="20"/>
      <c r="AP62" s="20"/>
      <c r="AQ62" s="20"/>
      <c r="AR62" s="20"/>
    </row>
    <row r="63" spans="1:44" ht="19.5" customHeight="1" x14ac:dyDescent="0.25">
      <c r="A63" s="20"/>
      <c r="B63" s="20"/>
      <c r="C63" s="20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43"/>
      <c r="AD63" s="19"/>
      <c r="AE63" s="19"/>
      <c r="AF63" s="19"/>
      <c r="AG63" s="19"/>
      <c r="AH63" s="19"/>
      <c r="AI63" s="20"/>
      <c r="AJ63" s="20"/>
      <c r="AK63" s="20"/>
      <c r="AL63" s="20"/>
      <c r="AM63" s="20"/>
      <c r="AN63" s="20"/>
      <c r="AO63" s="20"/>
      <c r="AP63" s="20"/>
      <c r="AQ63" s="20"/>
      <c r="AR63" s="20"/>
    </row>
    <row r="64" spans="1:44" ht="19.5" customHeight="1" x14ac:dyDescent="0.25">
      <c r="A64" s="20"/>
      <c r="B64" s="20"/>
      <c r="C64" s="20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43"/>
      <c r="AD64" s="19"/>
      <c r="AE64" s="19"/>
      <c r="AF64" s="19"/>
      <c r="AG64" s="19"/>
      <c r="AH64" s="19"/>
      <c r="AI64" s="20"/>
      <c r="AJ64" s="20"/>
      <c r="AK64" s="20"/>
      <c r="AL64" s="20"/>
      <c r="AM64" s="20"/>
      <c r="AN64" s="58">
        <v>71.150000000000006</v>
      </c>
      <c r="AO64" s="20"/>
      <c r="AP64" s="20"/>
      <c r="AQ64" s="20"/>
      <c r="AR64" s="20"/>
    </row>
    <row r="65" spans="1:44" ht="19.5" customHeight="1" x14ac:dyDescent="0.25">
      <c r="A65" s="20"/>
      <c r="B65" s="20"/>
      <c r="C65" s="20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43"/>
      <c r="AD65" s="19"/>
      <c r="AE65" s="19"/>
      <c r="AF65" s="19"/>
      <c r="AG65" s="19"/>
      <c r="AH65" s="19"/>
      <c r="AI65" s="20"/>
      <c r="AJ65" s="20"/>
      <c r="AK65" s="20"/>
      <c r="AL65" s="20"/>
      <c r="AM65" s="20"/>
      <c r="AN65" s="20"/>
      <c r="AO65" s="20"/>
      <c r="AP65" s="20"/>
      <c r="AQ65" s="20"/>
      <c r="AR65" s="20"/>
    </row>
    <row r="66" spans="1:44" ht="19.5" customHeight="1" x14ac:dyDescent="0.25">
      <c r="A66" s="20"/>
      <c r="B66" s="20"/>
      <c r="C66" s="20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43"/>
      <c r="AD66" s="19"/>
      <c r="AE66" s="19"/>
      <c r="AF66" s="19"/>
      <c r="AG66" s="19"/>
      <c r="AH66" s="19"/>
      <c r="AI66" s="20"/>
      <c r="AJ66" s="20"/>
      <c r="AK66" s="20"/>
      <c r="AL66" s="20"/>
      <c r="AM66" s="20"/>
      <c r="AN66" s="20"/>
      <c r="AO66" s="20"/>
      <c r="AP66" s="20"/>
      <c r="AQ66" s="20"/>
      <c r="AR66" s="20"/>
    </row>
    <row r="67" spans="1:44" ht="19.5" customHeight="1" x14ac:dyDescent="0.25">
      <c r="A67" s="20"/>
      <c r="B67" s="20"/>
      <c r="C67" s="20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43"/>
      <c r="AD67" s="19"/>
      <c r="AE67" s="19"/>
      <c r="AF67" s="19"/>
      <c r="AG67" s="19"/>
      <c r="AH67" s="19"/>
      <c r="AI67" s="20"/>
      <c r="AJ67" s="20"/>
      <c r="AK67" s="20"/>
      <c r="AL67" s="20"/>
      <c r="AM67" s="20"/>
      <c r="AN67" s="20"/>
      <c r="AO67" s="20"/>
      <c r="AP67" s="20"/>
      <c r="AQ67" s="20"/>
      <c r="AR67" s="20"/>
    </row>
    <row r="68" spans="1:44" ht="19.5" customHeight="1" x14ac:dyDescent="0.25">
      <c r="A68" s="20"/>
      <c r="B68" s="20"/>
      <c r="C68" s="20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43"/>
      <c r="AD68" s="19"/>
      <c r="AE68" s="19"/>
      <c r="AF68" s="19"/>
      <c r="AG68" s="19"/>
      <c r="AH68" s="19"/>
      <c r="AI68" s="20"/>
      <c r="AJ68" s="20"/>
      <c r="AK68" s="20"/>
      <c r="AL68" s="20"/>
      <c r="AM68" s="20"/>
      <c r="AN68" s="20"/>
      <c r="AO68" s="20"/>
      <c r="AP68" s="20"/>
      <c r="AQ68" s="20"/>
      <c r="AR68" s="20"/>
    </row>
    <row r="69" spans="1:44" ht="19.5" customHeight="1" x14ac:dyDescent="0.25">
      <c r="A69" s="20"/>
      <c r="B69" s="20"/>
      <c r="C69" s="20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43"/>
      <c r="AD69" s="19"/>
      <c r="AE69" s="19"/>
      <c r="AF69" s="19"/>
      <c r="AG69" s="19"/>
      <c r="AH69" s="19"/>
      <c r="AI69" s="20"/>
      <c r="AJ69" s="20"/>
      <c r="AK69" s="20"/>
      <c r="AL69" s="20"/>
      <c r="AM69" s="20"/>
      <c r="AN69" s="20"/>
      <c r="AO69" s="20"/>
      <c r="AP69" s="20"/>
      <c r="AQ69" s="20"/>
      <c r="AR69" s="20"/>
    </row>
    <row r="70" spans="1:44" ht="19.5" customHeight="1" x14ac:dyDescent="0.25">
      <c r="A70" s="20"/>
      <c r="B70" s="20"/>
      <c r="C70" s="20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43"/>
      <c r="AD70" s="19"/>
      <c r="AE70" s="19"/>
      <c r="AF70" s="19"/>
      <c r="AG70" s="19"/>
      <c r="AH70" s="19"/>
      <c r="AI70" s="20"/>
      <c r="AJ70" s="20"/>
      <c r="AK70" s="20"/>
      <c r="AL70" s="20"/>
      <c r="AM70" s="20"/>
      <c r="AN70" s="20"/>
      <c r="AO70" s="20"/>
      <c r="AP70" s="20"/>
      <c r="AQ70" s="20"/>
      <c r="AR70" s="20"/>
    </row>
    <row r="71" spans="1:44" ht="19.5" customHeight="1" x14ac:dyDescent="0.25">
      <c r="A71" s="20"/>
      <c r="B71" s="20"/>
      <c r="C71" s="2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43"/>
      <c r="AD71" s="19"/>
      <c r="AE71" s="19"/>
      <c r="AF71" s="19"/>
      <c r="AG71" s="19"/>
      <c r="AH71" s="19"/>
      <c r="AI71" s="20"/>
      <c r="AJ71" s="20"/>
      <c r="AK71" s="20"/>
      <c r="AL71" s="20"/>
      <c r="AM71" s="20"/>
      <c r="AN71" s="20"/>
      <c r="AO71" s="20"/>
      <c r="AP71" s="20"/>
      <c r="AQ71" s="20"/>
      <c r="AR71" s="20"/>
    </row>
    <row r="72" spans="1:44" ht="19.5" customHeight="1" x14ac:dyDescent="0.25">
      <c r="A72" s="20"/>
      <c r="B72" s="20"/>
      <c r="C72" s="20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43"/>
      <c r="AD72" s="19"/>
      <c r="AE72" s="19"/>
      <c r="AF72" s="19"/>
      <c r="AG72" s="19"/>
      <c r="AH72" s="19"/>
      <c r="AI72" s="20"/>
      <c r="AJ72" s="20"/>
      <c r="AK72" s="20"/>
      <c r="AL72" s="20"/>
      <c r="AM72" s="20"/>
      <c r="AN72" s="20"/>
      <c r="AO72" s="20"/>
      <c r="AP72" s="20"/>
      <c r="AQ72" s="20"/>
      <c r="AR72" s="20"/>
    </row>
    <row r="73" spans="1:44" ht="19.5" customHeight="1" x14ac:dyDescent="0.25">
      <c r="A73" s="20"/>
      <c r="B73" s="20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43"/>
      <c r="AD73" s="19"/>
      <c r="AE73" s="19"/>
      <c r="AF73" s="19"/>
      <c r="AG73" s="19"/>
      <c r="AH73" s="19"/>
      <c r="AI73" s="20"/>
      <c r="AJ73" s="20"/>
      <c r="AK73" s="20"/>
      <c r="AL73" s="20"/>
      <c r="AM73" s="20"/>
      <c r="AN73" s="20"/>
      <c r="AO73" s="20"/>
      <c r="AP73" s="20"/>
      <c r="AQ73" s="20"/>
      <c r="AR73" s="20"/>
    </row>
    <row r="74" spans="1:44" ht="19.5" customHeight="1" x14ac:dyDescent="0.25">
      <c r="A74" s="20"/>
      <c r="B74" s="20"/>
      <c r="C74" s="20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43"/>
      <c r="AD74" s="19"/>
      <c r="AE74" s="19"/>
      <c r="AF74" s="19"/>
      <c r="AG74" s="19"/>
      <c r="AH74" s="19"/>
      <c r="AI74" s="20"/>
      <c r="AJ74" s="20"/>
      <c r="AK74" s="20"/>
      <c r="AL74" s="20"/>
      <c r="AM74" s="20"/>
      <c r="AN74" s="20"/>
      <c r="AO74" s="20"/>
      <c r="AP74" s="20"/>
      <c r="AQ74" s="20"/>
      <c r="AR74" s="20"/>
    </row>
    <row r="75" spans="1:44" ht="19.5" customHeight="1" x14ac:dyDescent="0.25">
      <c r="A75" s="20"/>
      <c r="B75" s="20"/>
      <c r="C75" s="20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43"/>
      <c r="AD75" s="19"/>
      <c r="AE75" s="19"/>
      <c r="AF75" s="19"/>
      <c r="AG75" s="19"/>
      <c r="AH75" s="19"/>
      <c r="AI75" s="20"/>
      <c r="AJ75" s="20"/>
      <c r="AK75" s="20"/>
      <c r="AL75" s="20"/>
      <c r="AM75" s="20"/>
      <c r="AN75" s="20"/>
      <c r="AO75" s="20"/>
      <c r="AP75" s="20"/>
      <c r="AQ75" s="20"/>
      <c r="AR75" s="20"/>
    </row>
    <row r="76" spans="1:44" ht="19.5" customHeight="1" x14ac:dyDescent="0.25">
      <c r="A76" s="20"/>
      <c r="B76" s="20"/>
      <c r="C76" s="20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43"/>
      <c r="AD76" s="19"/>
      <c r="AE76" s="19"/>
      <c r="AF76" s="19"/>
      <c r="AG76" s="19"/>
      <c r="AH76" s="19"/>
      <c r="AI76" s="20"/>
      <c r="AJ76" s="20"/>
      <c r="AK76" s="20"/>
      <c r="AL76" s="20"/>
      <c r="AM76" s="20"/>
      <c r="AN76" s="20"/>
      <c r="AO76" s="20"/>
      <c r="AP76" s="20"/>
      <c r="AQ76" s="20"/>
      <c r="AR76" s="20"/>
    </row>
    <row r="77" spans="1:44" ht="19.5" customHeight="1" x14ac:dyDescent="0.25">
      <c r="A77" s="20"/>
      <c r="B77" s="20"/>
      <c r="C77" s="2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43"/>
      <c r="AD77" s="19"/>
      <c r="AE77" s="19"/>
      <c r="AF77" s="19"/>
      <c r="AG77" s="19"/>
      <c r="AH77" s="19"/>
      <c r="AI77" s="20"/>
      <c r="AJ77" s="20"/>
      <c r="AK77" s="20"/>
      <c r="AL77" s="20"/>
      <c r="AM77" s="20"/>
      <c r="AN77" s="20"/>
      <c r="AO77" s="20"/>
      <c r="AP77" s="20"/>
      <c r="AQ77" s="20"/>
      <c r="AR77" s="20"/>
    </row>
    <row r="78" spans="1:44" ht="19.5" customHeight="1" x14ac:dyDescent="0.25"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59"/>
      <c r="AD78" s="6"/>
      <c r="AE78" s="6"/>
      <c r="AF78" s="6"/>
      <c r="AG78" s="6"/>
      <c r="AH78" s="6"/>
    </row>
    <row r="79" spans="1:44" ht="19.5" customHeight="1" x14ac:dyDescent="0.25"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59"/>
      <c r="AD79" s="6"/>
      <c r="AE79" s="6"/>
      <c r="AF79" s="6"/>
      <c r="AG79" s="6"/>
      <c r="AH79" s="6"/>
    </row>
    <row r="80" spans="1:44" ht="19.5" customHeight="1" x14ac:dyDescent="0.25"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59"/>
      <c r="AD80" s="6"/>
      <c r="AE80" s="6"/>
      <c r="AF80" s="6"/>
      <c r="AG80" s="6"/>
      <c r="AH80" s="6"/>
    </row>
    <row r="81" spans="4:34" ht="19.5" customHeight="1" x14ac:dyDescent="0.25"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59"/>
      <c r="AD81" s="6"/>
      <c r="AE81" s="6"/>
      <c r="AF81" s="6"/>
      <c r="AG81" s="6"/>
      <c r="AH81" s="6"/>
    </row>
    <row r="82" spans="4:34" ht="19.5" customHeight="1" x14ac:dyDescent="0.25"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59"/>
      <c r="AD82" s="6"/>
      <c r="AE82" s="6"/>
      <c r="AF82" s="6"/>
      <c r="AG82" s="6"/>
      <c r="AH82" s="6"/>
    </row>
    <row r="83" spans="4:34" ht="19.5" customHeight="1" x14ac:dyDescent="0.25"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59"/>
      <c r="AD83" s="6"/>
      <c r="AE83" s="6"/>
      <c r="AF83" s="6"/>
      <c r="AG83" s="6"/>
      <c r="AH83" s="6"/>
    </row>
    <row r="84" spans="4:34" ht="19.5" customHeight="1" x14ac:dyDescent="0.25"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59"/>
      <c r="AD84" s="6"/>
      <c r="AE84" s="6"/>
      <c r="AF84" s="6"/>
      <c r="AG84" s="6"/>
      <c r="AH84" s="6"/>
    </row>
    <row r="85" spans="4:34" ht="19.5" customHeight="1" x14ac:dyDescent="0.25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59"/>
      <c r="AD85" s="6"/>
      <c r="AE85" s="6"/>
      <c r="AF85" s="6"/>
      <c r="AG85" s="6"/>
      <c r="AH85" s="6"/>
    </row>
    <row r="86" spans="4:34" ht="19.5" customHeight="1" x14ac:dyDescent="0.25"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59"/>
      <c r="AD86" s="6"/>
      <c r="AE86" s="6"/>
      <c r="AF86" s="6"/>
      <c r="AG86" s="6"/>
      <c r="AH86" s="6"/>
    </row>
    <row r="87" spans="4:34" ht="19.5" customHeight="1" x14ac:dyDescent="0.25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59"/>
      <c r="AD87" s="6"/>
      <c r="AE87" s="6"/>
      <c r="AF87" s="6"/>
      <c r="AG87" s="6"/>
      <c r="AH87" s="6"/>
    </row>
    <row r="88" spans="4:34" ht="19.5" customHeight="1" x14ac:dyDescent="0.25"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59"/>
      <c r="AD88" s="6"/>
      <c r="AE88" s="6"/>
      <c r="AF88" s="6"/>
      <c r="AG88" s="6"/>
      <c r="AH88" s="6"/>
    </row>
    <row r="89" spans="4:34" ht="19.5" customHeight="1" x14ac:dyDescent="0.25"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59"/>
      <c r="AD89" s="6"/>
      <c r="AE89" s="6"/>
      <c r="AF89" s="6"/>
      <c r="AG89" s="6"/>
      <c r="AH89" s="6"/>
    </row>
    <row r="90" spans="4:34" ht="19.5" customHeight="1" x14ac:dyDescent="0.25"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59"/>
      <c r="AD90" s="6"/>
      <c r="AE90" s="6"/>
      <c r="AF90" s="6"/>
      <c r="AG90" s="6"/>
      <c r="AH90" s="6"/>
    </row>
    <row r="91" spans="4:34" ht="19.5" customHeight="1" x14ac:dyDescent="0.25"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59"/>
      <c r="AD91" s="6"/>
      <c r="AE91" s="6"/>
      <c r="AF91" s="6"/>
      <c r="AG91" s="6"/>
      <c r="AH91" s="6"/>
    </row>
    <row r="92" spans="4:34" ht="19.5" customHeight="1" x14ac:dyDescent="0.25"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59"/>
      <c r="AD92" s="6"/>
      <c r="AE92" s="6"/>
      <c r="AF92" s="6"/>
      <c r="AG92" s="6"/>
      <c r="AH92" s="6"/>
    </row>
    <row r="93" spans="4:34" ht="19.5" customHeight="1" x14ac:dyDescent="0.25"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59"/>
      <c r="AD93" s="6"/>
      <c r="AE93" s="6"/>
      <c r="AF93" s="6"/>
      <c r="AG93" s="6"/>
      <c r="AH93" s="6"/>
    </row>
    <row r="94" spans="4:34" ht="19.5" customHeight="1" x14ac:dyDescent="0.25"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59"/>
      <c r="AD94" s="6"/>
      <c r="AE94" s="6"/>
      <c r="AF94" s="6"/>
      <c r="AG94" s="6"/>
      <c r="AH94" s="6"/>
    </row>
    <row r="95" spans="4:34" ht="19.5" customHeight="1" x14ac:dyDescent="0.25"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59"/>
      <c r="AD95" s="6"/>
      <c r="AE95" s="6"/>
      <c r="AF95" s="6"/>
      <c r="AG95" s="6"/>
      <c r="AH95" s="6"/>
    </row>
    <row r="96" spans="4:34" ht="19.5" customHeight="1" x14ac:dyDescent="0.25"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59"/>
      <c r="AD96" s="6"/>
      <c r="AE96" s="6"/>
      <c r="AF96" s="6"/>
      <c r="AG96" s="6"/>
      <c r="AH96" s="6"/>
    </row>
    <row r="97" spans="4:34" ht="19.5" customHeight="1" x14ac:dyDescent="0.25"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59"/>
      <c r="AD97" s="6"/>
      <c r="AE97" s="6"/>
      <c r="AF97" s="6"/>
      <c r="AG97" s="6"/>
      <c r="AH97" s="6"/>
    </row>
    <row r="98" spans="4:34" ht="19.5" customHeight="1" x14ac:dyDescent="0.25"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59"/>
      <c r="AD98" s="6"/>
      <c r="AE98" s="6"/>
      <c r="AF98" s="6"/>
      <c r="AG98" s="6"/>
      <c r="AH98" s="6"/>
    </row>
    <row r="99" spans="4:34" ht="19.5" customHeight="1" x14ac:dyDescent="0.25"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59"/>
      <c r="AD99" s="6"/>
      <c r="AE99" s="6"/>
      <c r="AF99" s="6"/>
      <c r="AG99" s="6"/>
      <c r="AH99" s="6"/>
    </row>
    <row r="100" spans="4:34" ht="19.5" customHeight="1" x14ac:dyDescent="0.25"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59"/>
      <c r="AD100" s="6"/>
      <c r="AE100" s="6"/>
      <c r="AF100" s="6"/>
      <c r="AG100" s="6"/>
      <c r="AH100" s="6"/>
    </row>
    <row r="101" spans="4:34" ht="19.5" customHeight="1" x14ac:dyDescent="0.25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59"/>
      <c r="AD101" s="6"/>
      <c r="AE101" s="6"/>
      <c r="AF101" s="6"/>
      <c r="AG101" s="6"/>
      <c r="AH101" s="6"/>
    </row>
    <row r="102" spans="4:34" ht="19.5" customHeight="1" x14ac:dyDescent="0.25"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59"/>
      <c r="AD102" s="6"/>
      <c r="AE102" s="6"/>
      <c r="AF102" s="6"/>
      <c r="AG102" s="6"/>
      <c r="AH102" s="6"/>
    </row>
    <row r="103" spans="4:34" ht="19.5" customHeight="1" x14ac:dyDescent="0.25"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59"/>
      <c r="AD103" s="6"/>
      <c r="AE103" s="6"/>
      <c r="AF103" s="6"/>
      <c r="AG103" s="6"/>
      <c r="AH103" s="6"/>
    </row>
    <row r="104" spans="4:34" ht="19.5" customHeight="1" x14ac:dyDescent="0.25"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59"/>
      <c r="AD104" s="6"/>
      <c r="AE104" s="6"/>
      <c r="AF104" s="6"/>
      <c r="AG104" s="6"/>
      <c r="AH104" s="6"/>
    </row>
    <row r="105" spans="4:34" ht="19.5" customHeight="1" x14ac:dyDescent="0.25"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59"/>
      <c r="AD105" s="6"/>
      <c r="AE105" s="6"/>
      <c r="AF105" s="6"/>
      <c r="AG105" s="6"/>
      <c r="AH105" s="6"/>
    </row>
    <row r="106" spans="4:34" ht="19.5" customHeight="1" x14ac:dyDescent="0.25"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59"/>
      <c r="AD106" s="6"/>
      <c r="AE106" s="6"/>
      <c r="AF106" s="6"/>
      <c r="AG106" s="6"/>
      <c r="AH106" s="6"/>
    </row>
    <row r="107" spans="4:34" ht="19.5" customHeight="1" x14ac:dyDescent="0.25"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59"/>
      <c r="AD107" s="6"/>
      <c r="AE107" s="6"/>
      <c r="AF107" s="6"/>
      <c r="AG107" s="6"/>
      <c r="AH107" s="6"/>
    </row>
    <row r="108" spans="4:34" ht="19.5" customHeight="1" x14ac:dyDescent="0.25"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9"/>
      <c r="AD108" s="6"/>
      <c r="AE108" s="6"/>
      <c r="AF108" s="6"/>
      <c r="AG108" s="6"/>
      <c r="AH108" s="6"/>
    </row>
    <row r="109" spans="4:34" ht="19.5" customHeight="1" x14ac:dyDescent="0.25"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9"/>
      <c r="AD109" s="6"/>
      <c r="AE109" s="6"/>
      <c r="AF109" s="6"/>
      <c r="AG109" s="6"/>
      <c r="AH109" s="6"/>
    </row>
    <row r="110" spans="4:34" ht="19.5" customHeight="1" x14ac:dyDescent="0.25"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9"/>
      <c r="AD110" s="6"/>
      <c r="AE110" s="6"/>
      <c r="AF110" s="6"/>
      <c r="AG110" s="6"/>
      <c r="AH110" s="6"/>
    </row>
    <row r="111" spans="4:34" ht="19.5" customHeight="1" x14ac:dyDescent="0.25"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9"/>
      <c r="AD111" s="6"/>
      <c r="AE111" s="6"/>
      <c r="AF111" s="6"/>
      <c r="AG111" s="6"/>
      <c r="AH111" s="6"/>
    </row>
    <row r="112" spans="4:34" ht="19.5" customHeight="1" x14ac:dyDescent="0.25"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9"/>
      <c r="AD112" s="6"/>
      <c r="AE112" s="6"/>
      <c r="AF112" s="6"/>
      <c r="AG112" s="6"/>
      <c r="AH112" s="6"/>
    </row>
    <row r="113" spans="4:34" ht="19.5" customHeight="1" x14ac:dyDescent="0.25"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9"/>
      <c r="AD113" s="6"/>
      <c r="AE113" s="6"/>
      <c r="AF113" s="6"/>
      <c r="AG113" s="6"/>
      <c r="AH113" s="6"/>
    </row>
    <row r="114" spans="4:34" ht="19.5" customHeight="1" x14ac:dyDescent="0.25"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9"/>
      <c r="AD114" s="6"/>
      <c r="AE114" s="6"/>
      <c r="AF114" s="6"/>
      <c r="AG114" s="6"/>
      <c r="AH114" s="6"/>
    </row>
    <row r="115" spans="4:34" ht="19.5" customHeight="1" x14ac:dyDescent="0.25"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59"/>
      <c r="AD115" s="6"/>
      <c r="AE115" s="6"/>
      <c r="AF115" s="6"/>
      <c r="AG115" s="6"/>
      <c r="AH115" s="6"/>
    </row>
    <row r="116" spans="4:34" ht="19.5" customHeight="1" x14ac:dyDescent="0.25"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59"/>
      <c r="AD116" s="6"/>
      <c r="AE116" s="6"/>
      <c r="AF116" s="6"/>
      <c r="AG116" s="6"/>
      <c r="AH116" s="6"/>
    </row>
    <row r="117" spans="4:34" ht="19.5" customHeight="1" x14ac:dyDescent="0.25"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59"/>
      <c r="AD117" s="6"/>
      <c r="AE117" s="6"/>
      <c r="AF117" s="6"/>
      <c r="AG117" s="6"/>
      <c r="AH117" s="6"/>
    </row>
    <row r="118" spans="4:34" ht="19.5" customHeight="1" x14ac:dyDescent="0.25"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59"/>
      <c r="AD118" s="6"/>
      <c r="AE118" s="6"/>
      <c r="AF118" s="6"/>
      <c r="AG118" s="6"/>
      <c r="AH118" s="6"/>
    </row>
    <row r="119" spans="4:34" ht="19.5" customHeight="1" x14ac:dyDescent="0.25"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59"/>
      <c r="AD119" s="6"/>
      <c r="AE119" s="6"/>
      <c r="AF119" s="6"/>
      <c r="AG119" s="6"/>
      <c r="AH119" s="6"/>
    </row>
    <row r="120" spans="4:34" ht="19.5" customHeight="1" x14ac:dyDescent="0.25"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59"/>
      <c r="AD120" s="6"/>
      <c r="AE120" s="6"/>
      <c r="AF120" s="6"/>
      <c r="AG120" s="6"/>
      <c r="AH120" s="6"/>
    </row>
    <row r="121" spans="4:34" ht="19.5" customHeight="1" x14ac:dyDescent="0.25"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59"/>
      <c r="AD121" s="6"/>
      <c r="AE121" s="6"/>
      <c r="AF121" s="6"/>
      <c r="AG121" s="6"/>
      <c r="AH121" s="6"/>
    </row>
    <row r="122" spans="4:34" ht="19.5" customHeight="1" x14ac:dyDescent="0.25"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59"/>
      <c r="AD122" s="6"/>
      <c r="AE122" s="6"/>
      <c r="AF122" s="6"/>
      <c r="AG122" s="6"/>
      <c r="AH122" s="6"/>
    </row>
    <row r="123" spans="4:34" ht="19.5" customHeight="1" x14ac:dyDescent="0.25"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59"/>
      <c r="AD123" s="6"/>
      <c r="AE123" s="6"/>
      <c r="AF123" s="6"/>
      <c r="AG123" s="6"/>
      <c r="AH123" s="6"/>
    </row>
    <row r="124" spans="4:34" ht="19.5" customHeight="1" x14ac:dyDescent="0.25"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59"/>
      <c r="AD124" s="6"/>
      <c r="AE124" s="6"/>
      <c r="AF124" s="6"/>
      <c r="AG124" s="6"/>
      <c r="AH124" s="6"/>
    </row>
    <row r="125" spans="4:34" ht="19.5" customHeight="1" x14ac:dyDescent="0.25"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59"/>
      <c r="AD125" s="6"/>
      <c r="AE125" s="6"/>
      <c r="AF125" s="6"/>
      <c r="AG125" s="6"/>
      <c r="AH125" s="6"/>
    </row>
    <row r="126" spans="4:34" ht="19.5" customHeight="1" x14ac:dyDescent="0.25"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59"/>
      <c r="AD126" s="6"/>
      <c r="AE126" s="6"/>
      <c r="AF126" s="6"/>
      <c r="AG126" s="6"/>
      <c r="AH126" s="6"/>
    </row>
    <row r="127" spans="4:34" ht="15.75" customHeight="1" x14ac:dyDescent="0.25"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59"/>
      <c r="AD127" s="6"/>
      <c r="AE127" s="6"/>
      <c r="AF127" s="6"/>
      <c r="AG127" s="6"/>
      <c r="AH127" s="6"/>
    </row>
    <row r="128" spans="4:34" ht="15.75" customHeight="1" x14ac:dyDescent="0.25"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59"/>
      <c r="AD128" s="6"/>
      <c r="AE128" s="6"/>
      <c r="AF128" s="6"/>
      <c r="AG128" s="6"/>
      <c r="AH128" s="6"/>
    </row>
    <row r="129" spans="4:34" ht="15.75" customHeight="1" x14ac:dyDescent="0.25"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59"/>
      <c r="AD129" s="6"/>
      <c r="AE129" s="6"/>
      <c r="AF129" s="6"/>
      <c r="AG129" s="6"/>
      <c r="AH129" s="6"/>
    </row>
    <row r="130" spans="4:34" ht="15.75" customHeight="1" x14ac:dyDescent="0.25"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59"/>
      <c r="AD130" s="6"/>
      <c r="AE130" s="6"/>
      <c r="AF130" s="6"/>
      <c r="AG130" s="6"/>
      <c r="AH130" s="6"/>
    </row>
    <row r="131" spans="4:34" ht="15.75" customHeight="1" x14ac:dyDescent="0.25"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59"/>
      <c r="AD131" s="6"/>
      <c r="AE131" s="6"/>
      <c r="AF131" s="6"/>
      <c r="AG131" s="6"/>
      <c r="AH131" s="6"/>
    </row>
    <row r="132" spans="4:34" ht="15.75" customHeight="1" x14ac:dyDescent="0.25"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59"/>
      <c r="AD132" s="6"/>
      <c r="AE132" s="6"/>
      <c r="AF132" s="6"/>
      <c r="AG132" s="6"/>
      <c r="AH132" s="6"/>
    </row>
    <row r="133" spans="4:34" ht="15.75" customHeight="1" x14ac:dyDescent="0.25"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59"/>
      <c r="AD133" s="6"/>
      <c r="AE133" s="6"/>
      <c r="AF133" s="6"/>
      <c r="AG133" s="6"/>
      <c r="AH133" s="6"/>
    </row>
    <row r="134" spans="4:34" ht="15.75" customHeight="1" x14ac:dyDescent="0.25"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59"/>
      <c r="AD134" s="6"/>
      <c r="AE134" s="6"/>
      <c r="AF134" s="6"/>
      <c r="AG134" s="6"/>
      <c r="AH134" s="6"/>
    </row>
    <row r="135" spans="4:34" ht="15.75" customHeight="1" x14ac:dyDescent="0.25"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59"/>
      <c r="AD135" s="6"/>
      <c r="AE135" s="6"/>
      <c r="AF135" s="6"/>
      <c r="AG135" s="6"/>
      <c r="AH135" s="6"/>
    </row>
    <row r="136" spans="4:34" ht="15.75" customHeight="1" x14ac:dyDescent="0.25"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59"/>
      <c r="AD136" s="6"/>
      <c r="AE136" s="6"/>
      <c r="AF136" s="6"/>
      <c r="AG136" s="6"/>
      <c r="AH136" s="6"/>
    </row>
    <row r="137" spans="4:34" ht="15.75" customHeight="1" x14ac:dyDescent="0.25"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59"/>
      <c r="AD137" s="6"/>
      <c r="AE137" s="6"/>
      <c r="AF137" s="6"/>
      <c r="AG137" s="6"/>
      <c r="AH137" s="6"/>
    </row>
    <row r="138" spans="4:34" ht="15.75" customHeight="1" x14ac:dyDescent="0.25"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59"/>
      <c r="AD138" s="6"/>
      <c r="AE138" s="6"/>
      <c r="AF138" s="6"/>
      <c r="AG138" s="6"/>
      <c r="AH138" s="6"/>
    </row>
    <row r="139" spans="4:34" ht="15.75" customHeight="1" x14ac:dyDescent="0.25"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59"/>
      <c r="AD139" s="6"/>
      <c r="AE139" s="6"/>
      <c r="AF139" s="6"/>
      <c r="AG139" s="6"/>
      <c r="AH139" s="6"/>
    </row>
    <row r="140" spans="4:34" ht="15.75" customHeight="1" x14ac:dyDescent="0.25"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59"/>
      <c r="AD140" s="6"/>
      <c r="AE140" s="6"/>
      <c r="AF140" s="6"/>
      <c r="AG140" s="6"/>
      <c r="AH140" s="6"/>
    </row>
    <row r="141" spans="4:34" ht="15.75" customHeight="1" x14ac:dyDescent="0.25"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59"/>
      <c r="AD141" s="6"/>
      <c r="AE141" s="6"/>
      <c r="AF141" s="6"/>
      <c r="AG141" s="6"/>
      <c r="AH141" s="6"/>
    </row>
    <row r="142" spans="4:34" ht="15.75" customHeight="1" x14ac:dyDescent="0.25"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59"/>
      <c r="AD142" s="6"/>
      <c r="AE142" s="6"/>
      <c r="AF142" s="6"/>
      <c r="AG142" s="6"/>
      <c r="AH142" s="6"/>
    </row>
    <row r="143" spans="4:34" ht="15.75" customHeight="1" x14ac:dyDescent="0.25"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59"/>
      <c r="AD143" s="6"/>
      <c r="AE143" s="6"/>
      <c r="AF143" s="6"/>
      <c r="AG143" s="6"/>
      <c r="AH143" s="6"/>
    </row>
    <row r="144" spans="4:34" ht="15.75" customHeight="1" x14ac:dyDescent="0.25"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59"/>
      <c r="AD144" s="6"/>
      <c r="AE144" s="6"/>
      <c r="AF144" s="6"/>
      <c r="AG144" s="6"/>
      <c r="AH144" s="6"/>
    </row>
    <row r="145" spans="4:34" ht="15.75" customHeight="1" x14ac:dyDescent="0.25"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9"/>
      <c r="AD145" s="6"/>
      <c r="AE145" s="6"/>
      <c r="AF145" s="6"/>
      <c r="AG145" s="6"/>
      <c r="AH145" s="6"/>
    </row>
    <row r="146" spans="4:34" ht="15.75" customHeight="1" x14ac:dyDescent="0.25"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9"/>
      <c r="AD146" s="6"/>
      <c r="AE146" s="6"/>
      <c r="AF146" s="6"/>
      <c r="AG146" s="6"/>
      <c r="AH146" s="6"/>
    </row>
    <row r="147" spans="4:34" ht="15.75" customHeight="1" x14ac:dyDescent="0.25"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9"/>
      <c r="AD147" s="6"/>
      <c r="AE147" s="6"/>
      <c r="AF147" s="6"/>
      <c r="AG147" s="6"/>
      <c r="AH147" s="6"/>
    </row>
    <row r="148" spans="4:34" ht="15.75" customHeight="1" x14ac:dyDescent="0.25"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9"/>
      <c r="AD148" s="6"/>
      <c r="AE148" s="6"/>
      <c r="AF148" s="6"/>
      <c r="AG148" s="6"/>
      <c r="AH148" s="6"/>
    </row>
    <row r="149" spans="4:34" ht="15.75" customHeight="1" x14ac:dyDescent="0.25"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9"/>
      <c r="AD149" s="6"/>
      <c r="AE149" s="6"/>
      <c r="AF149" s="6"/>
      <c r="AG149" s="6"/>
      <c r="AH149" s="6"/>
    </row>
    <row r="150" spans="4:34" ht="15.75" customHeight="1" x14ac:dyDescent="0.25"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9"/>
      <c r="AD150" s="6"/>
      <c r="AE150" s="6"/>
      <c r="AF150" s="6"/>
      <c r="AG150" s="6"/>
      <c r="AH150" s="6"/>
    </row>
    <row r="151" spans="4:34" ht="15.75" customHeight="1" x14ac:dyDescent="0.25"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59"/>
      <c r="AD151" s="6"/>
      <c r="AE151" s="6"/>
      <c r="AF151" s="6"/>
      <c r="AG151" s="6"/>
      <c r="AH151" s="6"/>
    </row>
    <row r="152" spans="4:34" ht="15.75" customHeight="1" x14ac:dyDescent="0.25"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59"/>
      <c r="AD152" s="6"/>
      <c r="AE152" s="6"/>
      <c r="AF152" s="6"/>
      <c r="AG152" s="6"/>
      <c r="AH152" s="6"/>
    </row>
    <row r="153" spans="4:34" ht="15.75" customHeight="1" x14ac:dyDescent="0.25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59"/>
      <c r="AD153" s="6"/>
      <c r="AE153" s="6"/>
      <c r="AF153" s="6"/>
      <c r="AG153" s="6"/>
      <c r="AH153" s="6"/>
    </row>
    <row r="154" spans="4:34" ht="15.75" customHeight="1" x14ac:dyDescent="0.25"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59"/>
      <c r="AD154" s="6"/>
      <c r="AE154" s="6"/>
      <c r="AF154" s="6"/>
      <c r="AG154" s="6"/>
      <c r="AH154" s="6"/>
    </row>
    <row r="155" spans="4:34" ht="15.75" customHeight="1" x14ac:dyDescent="0.25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59"/>
      <c r="AD155" s="6"/>
      <c r="AE155" s="6"/>
      <c r="AF155" s="6"/>
      <c r="AG155" s="6"/>
      <c r="AH155" s="6"/>
    </row>
    <row r="156" spans="4:34" ht="15.75" customHeight="1" x14ac:dyDescent="0.25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59"/>
      <c r="AD156" s="6"/>
      <c r="AE156" s="6"/>
      <c r="AF156" s="6"/>
      <c r="AG156" s="6"/>
      <c r="AH156" s="6"/>
    </row>
    <row r="157" spans="4:34" ht="15.75" customHeight="1" x14ac:dyDescent="0.25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59"/>
      <c r="AD157" s="6"/>
      <c r="AE157" s="6"/>
      <c r="AF157" s="6"/>
      <c r="AG157" s="6"/>
      <c r="AH157" s="6"/>
    </row>
    <row r="158" spans="4:34" ht="15.75" customHeight="1" x14ac:dyDescent="0.25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59"/>
      <c r="AD158" s="6"/>
      <c r="AE158" s="6"/>
      <c r="AF158" s="6"/>
      <c r="AG158" s="6"/>
      <c r="AH158" s="6"/>
    </row>
    <row r="159" spans="4:34" ht="15.75" customHeight="1" x14ac:dyDescent="0.25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59"/>
      <c r="AD159" s="6"/>
      <c r="AE159" s="6"/>
      <c r="AF159" s="6"/>
      <c r="AG159" s="6"/>
      <c r="AH159" s="6"/>
    </row>
    <row r="160" spans="4:34" ht="15.75" customHeight="1" x14ac:dyDescent="0.25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59"/>
      <c r="AD160" s="6"/>
      <c r="AE160" s="6"/>
      <c r="AF160" s="6"/>
      <c r="AG160" s="6"/>
      <c r="AH160" s="6"/>
    </row>
    <row r="161" spans="4:34" ht="15.75" customHeight="1" x14ac:dyDescent="0.2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9"/>
      <c r="AD161" s="6"/>
      <c r="AE161" s="6"/>
      <c r="AF161" s="6"/>
      <c r="AG161" s="6"/>
      <c r="AH161" s="6"/>
    </row>
    <row r="162" spans="4:34" ht="15.75" customHeight="1" x14ac:dyDescent="0.25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9"/>
      <c r="AD162" s="6"/>
      <c r="AE162" s="6"/>
      <c r="AF162" s="6"/>
      <c r="AG162" s="6"/>
      <c r="AH162" s="6"/>
    </row>
    <row r="163" spans="4:34" ht="15.75" customHeight="1" x14ac:dyDescent="0.2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59"/>
      <c r="AD163" s="6"/>
      <c r="AE163" s="6"/>
      <c r="AF163" s="6"/>
      <c r="AG163" s="6"/>
      <c r="AH163" s="6"/>
    </row>
    <row r="164" spans="4:34" ht="15.75" customHeight="1" x14ac:dyDescent="0.25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59"/>
      <c r="AD164" s="6"/>
      <c r="AE164" s="6"/>
      <c r="AF164" s="6"/>
      <c r="AG164" s="6"/>
      <c r="AH164" s="6"/>
    </row>
    <row r="165" spans="4:34" ht="15.75" customHeight="1" x14ac:dyDescent="0.2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59"/>
      <c r="AD165" s="6"/>
      <c r="AE165" s="6"/>
      <c r="AF165" s="6"/>
      <c r="AG165" s="6"/>
      <c r="AH165" s="6"/>
    </row>
    <row r="166" spans="4:34" ht="15.75" customHeight="1" x14ac:dyDescent="0.25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59"/>
      <c r="AD166" s="6"/>
      <c r="AE166" s="6"/>
      <c r="AF166" s="6"/>
      <c r="AG166" s="6"/>
      <c r="AH166" s="6"/>
    </row>
    <row r="167" spans="4:34" ht="15.75" customHeight="1" x14ac:dyDescent="0.2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9"/>
      <c r="AD167" s="6"/>
      <c r="AE167" s="6"/>
      <c r="AF167" s="6"/>
      <c r="AG167" s="6"/>
      <c r="AH167" s="6"/>
    </row>
    <row r="168" spans="4:34" ht="15.75" customHeight="1" x14ac:dyDescent="0.25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9"/>
      <c r="AD168" s="6"/>
      <c r="AE168" s="6"/>
      <c r="AF168" s="6"/>
      <c r="AG168" s="6"/>
      <c r="AH168" s="6"/>
    </row>
    <row r="169" spans="4:34" ht="15.75" customHeight="1" x14ac:dyDescent="0.2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9"/>
      <c r="AD169" s="6"/>
      <c r="AE169" s="6"/>
      <c r="AF169" s="6"/>
      <c r="AG169" s="6"/>
      <c r="AH169" s="6"/>
    </row>
    <row r="170" spans="4:34" ht="15.75" customHeight="1" x14ac:dyDescent="0.25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9"/>
      <c r="AD170" s="6"/>
      <c r="AE170" s="6"/>
      <c r="AF170" s="6"/>
      <c r="AG170" s="6"/>
      <c r="AH170" s="6"/>
    </row>
    <row r="171" spans="4:34" ht="15.75" customHeight="1" x14ac:dyDescent="0.25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9"/>
      <c r="AD171" s="6"/>
      <c r="AE171" s="6"/>
      <c r="AF171" s="6"/>
      <c r="AG171" s="6"/>
      <c r="AH171" s="6"/>
    </row>
    <row r="172" spans="4:34" ht="15.75" customHeight="1" x14ac:dyDescent="0.25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9"/>
      <c r="AD172" s="6"/>
      <c r="AE172" s="6"/>
      <c r="AF172" s="6"/>
      <c r="AG172" s="6"/>
      <c r="AH172" s="6"/>
    </row>
    <row r="173" spans="4:34" ht="15.75" customHeight="1" x14ac:dyDescent="0.2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9"/>
      <c r="AD173" s="6"/>
      <c r="AE173" s="6"/>
      <c r="AF173" s="6"/>
      <c r="AG173" s="6"/>
      <c r="AH173" s="6"/>
    </row>
    <row r="174" spans="4:34" ht="15.75" customHeight="1" x14ac:dyDescent="0.25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9"/>
      <c r="AD174" s="6"/>
      <c r="AE174" s="6"/>
      <c r="AF174" s="6"/>
      <c r="AG174" s="6"/>
      <c r="AH174" s="6"/>
    </row>
    <row r="175" spans="4:34" ht="15.75" customHeight="1" x14ac:dyDescent="0.25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59"/>
      <c r="AD175" s="6"/>
      <c r="AE175" s="6"/>
      <c r="AF175" s="6"/>
      <c r="AG175" s="6"/>
      <c r="AH175" s="6"/>
    </row>
    <row r="176" spans="4:34" ht="15.75" customHeight="1" x14ac:dyDescent="0.25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59"/>
      <c r="AD176" s="6"/>
      <c r="AE176" s="6"/>
      <c r="AF176" s="6"/>
      <c r="AG176" s="6"/>
      <c r="AH176" s="6"/>
    </row>
    <row r="177" spans="4:34" ht="15.75" customHeight="1" x14ac:dyDescent="0.25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59"/>
      <c r="AD177" s="6"/>
      <c r="AE177" s="6"/>
      <c r="AF177" s="6"/>
      <c r="AG177" s="6"/>
      <c r="AH177" s="6"/>
    </row>
    <row r="178" spans="4:34" ht="15.75" customHeight="1" x14ac:dyDescent="0.25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59"/>
      <c r="AD178" s="6"/>
      <c r="AE178" s="6"/>
      <c r="AF178" s="6"/>
      <c r="AG178" s="6"/>
      <c r="AH178" s="6"/>
    </row>
    <row r="179" spans="4:34" ht="15.75" customHeight="1" x14ac:dyDescent="0.25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59"/>
      <c r="AD179" s="6"/>
      <c r="AE179" s="6"/>
      <c r="AF179" s="6"/>
      <c r="AG179" s="6"/>
      <c r="AH179" s="6"/>
    </row>
    <row r="180" spans="4:34" ht="15.75" customHeight="1" x14ac:dyDescent="0.25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59"/>
      <c r="AD180" s="6"/>
      <c r="AE180" s="6"/>
      <c r="AF180" s="6"/>
      <c r="AG180" s="6"/>
      <c r="AH180" s="6"/>
    </row>
    <row r="181" spans="4:34" ht="15.75" customHeight="1" x14ac:dyDescent="0.25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59"/>
      <c r="AD181" s="6"/>
      <c r="AE181" s="6"/>
      <c r="AF181" s="6"/>
      <c r="AG181" s="6"/>
      <c r="AH181" s="6"/>
    </row>
    <row r="182" spans="4:34" ht="15.75" customHeight="1" x14ac:dyDescent="0.25"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59"/>
      <c r="AD182" s="6"/>
      <c r="AE182" s="6"/>
      <c r="AF182" s="6"/>
      <c r="AG182" s="6"/>
      <c r="AH182" s="6"/>
    </row>
    <row r="183" spans="4:34" ht="15.75" customHeight="1" x14ac:dyDescent="0.25"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59"/>
      <c r="AD183" s="6"/>
      <c r="AE183" s="6"/>
      <c r="AF183" s="6"/>
      <c r="AG183" s="6"/>
      <c r="AH183" s="6"/>
    </row>
    <row r="184" spans="4:34" ht="15.75" customHeight="1" x14ac:dyDescent="0.25"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59"/>
      <c r="AD184" s="6"/>
      <c r="AE184" s="6"/>
      <c r="AF184" s="6"/>
      <c r="AG184" s="6"/>
      <c r="AH184" s="6"/>
    </row>
    <row r="185" spans="4:34" ht="15.75" customHeight="1" x14ac:dyDescent="0.25"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59"/>
      <c r="AD185" s="6"/>
      <c r="AE185" s="6"/>
      <c r="AF185" s="6"/>
      <c r="AG185" s="6"/>
      <c r="AH185" s="6"/>
    </row>
    <row r="186" spans="4:34" ht="15.75" customHeight="1" x14ac:dyDescent="0.25"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59"/>
      <c r="AD186" s="6"/>
      <c r="AE186" s="6"/>
      <c r="AF186" s="6"/>
      <c r="AG186" s="6"/>
      <c r="AH186" s="6"/>
    </row>
    <row r="187" spans="4:34" ht="15.75" customHeight="1" x14ac:dyDescent="0.25"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59"/>
      <c r="AD187" s="6"/>
      <c r="AE187" s="6"/>
      <c r="AF187" s="6"/>
      <c r="AG187" s="6"/>
      <c r="AH187" s="6"/>
    </row>
    <row r="188" spans="4:34" ht="15.75" customHeight="1" x14ac:dyDescent="0.25"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59"/>
      <c r="AD188" s="6"/>
      <c r="AE188" s="6"/>
      <c r="AF188" s="6"/>
      <c r="AG188" s="6"/>
      <c r="AH188" s="6"/>
    </row>
    <row r="189" spans="4:34" ht="15.75" customHeight="1" x14ac:dyDescent="0.25">
      <c r="AC189" s="60"/>
    </row>
    <row r="190" spans="4:34" ht="15.75" customHeight="1" x14ac:dyDescent="0.25">
      <c r="AC190" s="60"/>
    </row>
    <row r="191" spans="4:34" ht="15.75" customHeight="1" x14ac:dyDescent="0.25">
      <c r="AC191" s="60"/>
    </row>
    <row r="192" spans="4:34" ht="15.75" customHeight="1" x14ac:dyDescent="0.25">
      <c r="AC192" s="60"/>
    </row>
    <row r="193" spans="29:29" ht="15.75" customHeight="1" x14ac:dyDescent="0.25">
      <c r="AC193" s="60"/>
    </row>
    <row r="194" spans="29:29" ht="15.75" customHeight="1" x14ac:dyDescent="0.25">
      <c r="AC194" s="60"/>
    </row>
    <row r="195" spans="29:29" ht="15.75" customHeight="1" x14ac:dyDescent="0.25">
      <c r="AC195" s="60"/>
    </row>
    <row r="196" spans="29:29" ht="15.75" customHeight="1" x14ac:dyDescent="0.25">
      <c r="AC196" s="60"/>
    </row>
    <row r="197" spans="29:29" ht="15.75" customHeight="1" x14ac:dyDescent="0.25">
      <c r="AC197" s="60"/>
    </row>
    <row r="198" spans="29:29" ht="15.75" customHeight="1" x14ac:dyDescent="0.25">
      <c r="AC198" s="60"/>
    </row>
    <row r="199" spans="29:29" ht="15.75" customHeight="1" x14ac:dyDescent="0.25">
      <c r="AC199" s="60"/>
    </row>
    <row r="200" spans="29:29" ht="15.75" customHeight="1" x14ac:dyDescent="0.25">
      <c r="AC200" s="60"/>
    </row>
    <row r="201" spans="29:29" ht="15.75" customHeight="1" x14ac:dyDescent="0.25">
      <c r="AC201" s="60"/>
    </row>
    <row r="202" spans="29:29" ht="15.75" customHeight="1" x14ac:dyDescent="0.25">
      <c r="AC202" s="60"/>
    </row>
    <row r="203" spans="29:29" ht="15.75" customHeight="1" x14ac:dyDescent="0.25">
      <c r="AC203" s="60"/>
    </row>
    <row r="204" spans="29:29" ht="15.75" customHeight="1" x14ac:dyDescent="0.25">
      <c r="AC204" s="60"/>
    </row>
    <row r="205" spans="29:29" ht="15.75" customHeight="1" x14ac:dyDescent="0.25">
      <c r="AC205" s="60"/>
    </row>
    <row r="206" spans="29:29" ht="15.75" customHeight="1" x14ac:dyDescent="0.25">
      <c r="AC206" s="60"/>
    </row>
    <row r="207" spans="29:29" ht="15.75" customHeight="1" x14ac:dyDescent="0.25">
      <c r="AC207" s="60"/>
    </row>
    <row r="208" spans="29:29" ht="15.75" customHeight="1" x14ac:dyDescent="0.25">
      <c r="AC208" s="60"/>
    </row>
    <row r="209" spans="29:29" ht="15.75" customHeight="1" x14ac:dyDescent="0.25">
      <c r="AC209" s="60"/>
    </row>
    <row r="210" spans="29:29" ht="15.75" customHeight="1" x14ac:dyDescent="0.25">
      <c r="AC210" s="60"/>
    </row>
    <row r="211" spans="29:29" ht="15.75" customHeight="1" x14ac:dyDescent="0.25">
      <c r="AC211" s="60"/>
    </row>
    <row r="212" spans="29:29" ht="15.75" customHeight="1" x14ac:dyDescent="0.25">
      <c r="AC212" s="60"/>
    </row>
    <row r="213" spans="29:29" ht="15.75" customHeight="1" x14ac:dyDescent="0.25">
      <c r="AC213" s="60"/>
    </row>
    <row r="214" spans="29:29" ht="15.75" customHeight="1" x14ac:dyDescent="0.25">
      <c r="AC214" s="60"/>
    </row>
    <row r="215" spans="29:29" ht="15.75" customHeight="1" x14ac:dyDescent="0.25">
      <c r="AC215" s="60"/>
    </row>
    <row r="216" spans="29:29" ht="15.75" customHeight="1" x14ac:dyDescent="0.25">
      <c r="AC216" s="60"/>
    </row>
    <row r="217" spans="29:29" ht="15.75" customHeight="1" x14ac:dyDescent="0.25">
      <c r="AC217" s="60"/>
    </row>
    <row r="218" spans="29:29" ht="15.75" customHeight="1" x14ac:dyDescent="0.25">
      <c r="AC218" s="60"/>
    </row>
    <row r="219" spans="29:29" ht="15.75" customHeight="1" x14ac:dyDescent="0.25">
      <c r="AC219" s="60"/>
    </row>
    <row r="220" spans="29:29" ht="15.75" customHeight="1" x14ac:dyDescent="0.25">
      <c r="AC220" s="60"/>
    </row>
    <row r="221" spans="29:29" ht="15.75" customHeight="1" x14ac:dyDescent="0.25">
      <c r="AC221" s="60"/>
    </row>
    <row r="222" spans="29:29" ht="15.75" customHeight="1" x14ac:dyDescent="0.25">
      <c r="AC222" s="60"/>
    </row>
    <row r="223" spans="29:29" ht="15.75" customHeight="1" x14ac:dyDescent="0.25">
      <c r="AC223" s="60"/>
    </row>
    <row r="224" spans="29:29" ht="15.75" customHeight="1" x14ac:dyDescent="0.25">
      <c r="AC224" s="60"/>
    </row>
    <row r="225" spans="29:29" ht="15.75" customHeight="1" x14ac:dyDescent="0.25">
      <c r="AC225" s="60"/>
    </row>
    <row r="226" spans="29:29" ht="15.75" customHeight="1" x14ac:dyDescent="0.25">
      <c r="AC226" s="60"/>
    </row>
    <row r="227" spans="29:29" ht="15.75" customHeight="1" x14ac:dyDescent="0.25">
      <c r="AC227" s="60"/>
    </row>
    <row r="228" spans="29:29" ht="15.75" customHeight="1" x14ac:dyDescent="0.25">
      <c r="AC228" s="60"/>
    </row>
    <row r="229" spans="29:29" ht="15.75" customHeight="1" x14ac:dyDescent="0.25">
      <c r="AC229" s="60"/>
    </row>
    <row r="230" spans="29:29" ht="15.75" customHeight="1" x14ac:dyDescent="0.25">
      <c r="AC230" s="60"/>
    </row>
    <row r="231" spans="29:29" ht="15.75" customHeight="1" x14ac:dyDescent="0.25">
      <c r="AC231" s="60"/>
    </row>
    <row r="232" spans="29:29" ht="15.75" customHeight="1" x14ac:dyDescent="0.25">
      <c r="AC232" s="60"/>
    </row>
    <row r="233" spans="29:29" ht="15.75" customHeight="1" x14ac:dyDescent="0.25">
      <c r="AC233" s="60"/>
    </row>
    <row r="234" spans="29:29" ht="15.75" customHeight="1" x14ac:dyDescent="0.25">
      <c r="AC234" s="60"/>
    </row>
    <row r="235" spans="29:29" ht="15.75" customHeight="1" x14ac:dyDescent="0.25">
      <c r="AC235" s="60"/>
    </row>
    <row r="236" spans="29:29" ht="15.75" customHeight="1" x14ac:dyDescent="0.25">
      <c r="AC236" s="60"/>
    </row>
    <row r="237" spans="29:29" ht="15.75" customHeight="1" x14ac:dyDescent="0.25">
      <c r="AC237" s="60"/>
    </row>
    <row r="238" spans="29:29" ht="15.75" customHeight="1" x14ac:dyDescent="0.25">
      <c r="AC238" s="60"/>
    </row>
    <row r="239" spans="29:29" ht="15.75" customHeight="1" x14ac:dyDescent="0.25">
      <c r="AC239" s="60"/>
    </row>
    <row r="240" spans="29:29" ht="15.75" customHeight="1" x14ac:dyDescent="0.25">
      <c r="AC240" s="60"/>
    </row>
    <row r="241" spans="29:29" ht="15.75" customHeight="1" x14ac:dyDescent="0.25">
      <c r="AC241" s="60"/>
    </row>
    <row r="242" spans="29:29" ht="15.75" customHeight="1" x14ac:dyDescent="0.25">
      <c r="AC242" s="60"/>
    </row>
    <row r="243" spans="29:29" ht="15.75" customHeight="1" x14ac:dyDescent="0.25">
      <c r="AC243" s="60"/>
    </row>
    <row r="244" spans="29:29" ht="15.75" customHeight="1" x14ac:dyDescent="0.25">
      <c r="AC244" s="60"/>
    </row>
    <row r="245" spans="29:29" ht="15.75" customHeight="1" x14ac:dyDescent="0.25">
      <c r="AC245" s="60"/>
    </row>
    <row r="246" spans="29:29" ht="15.75" customHeight="1" x14ac:dyDescent="0.25">
      <c r="AC246" s="60"/>
    </row>
    <row r="247" spans="29:29" ht="15.75" customHeight="1" x14ac:dyDescent="0.25">
      <c r="AC247" s="60"/>
    </row>
    <row r="248" spans="29:29" ht="15.75" customHeight="1" x14ac:dyDescent="0.25">
      <c r="AC248" s="60"/>
    </row>
    <row r="249" spans="29:29" ht="15.75" customHeight="1" x14ac:dyDescent="0.25">
      <c r="AC249" s="60"/>
    </row>
    <row r="250" spans="29:29" ht="15.75" customHeight="1" x14ac:dyDescent="0.25">
      <c r="AC250" s="60"/>
    </row>
    <row r="251" spans="29:29" ht="15.75" customHeight="1" x14ac:dyDescent="0.25">
      <c r="AC251" s="60"/>
    </row>
    <row r="252" spans="29:29" ht="15.75" customHeight="1" x14ac:dyDescent="0.25">
      <c r="AC252" s="60"/>
    </row>
    <row r="253" spans="29:29" ht="15.75" customHeight="1" x14ac:dyDescent="0.25">
      <c r="AC253" s="60"/>
    </row>
    <row r="254" spans="29:29" ht="15.75" customHeight="1" x14ac:dyDescent="0.25">
      <c r="AC254" s="60"/>
    </row>
    <row r="255" spans="29:29" ht="15.75" customHeight="1" x14ac:dyDescent="0.25">
      <c r="AC255" s="60"/>
    </row>
    <row r="256" spans="29:29" ht="15.75" customHeight="1" x14ac:dyDescent="0.25">
      <c r="AC256" s="60"/>
    </row>
    <row r="257" spans="29:29" ht="15.75" customHeight="1" x14ac:dyDescent="0.25">
      <c r="AC257" s="60"/>
    </row>
    <row r="258" spans="29:29" ht="15.75" customHeight="1" x14ac:dyDescent="0.25">
      <c r="AC258" s="60"/>
    </row>
    <row r="259" spans="29:29" ht="15.75" customHeight="1" x14ac:dyDescent="0.25">
      <c r="AC259" s="60"/>
    </row>
    <row r="260" spans="29:29" ht="15.75" customHeight="1" x14ac:dyDescent="0.25">
      <c r="AC260" s="60"/>
    </row>
    <row r="261" spans="29:29" ht="15.75" customHeight="1" x14ac:dyDescent="0.25">
      <c r="AC261" s="60"/>
    </row>
    <row r="262" spans="29:29" ht="15.75" customHeight="1" x14ac:dyDescent="0.25">
      <c r="AC262" s="60"/>
    </row>
    <row r="263" spans="29:29" ht="15.75" customHeight="1" x14ac:dyDescent="0.25">
      <c r="AC263" s="60"/>
    </row>
    <row r="264" spans="29:29" ht="15.75" customHeight="1" x14ac:dyDescent="0.25">
      <c r="AC264" s="60"/>
    </row>
    <row r="265" spans="29:29" ht="15.75" customHeight="1" x14ac:dyDescent="0.25">
      <c r="AC265" s="60"/>
    </row>
    <row r="266" spans="29:29" ht="15.75" customHeight="1" x14ac:dyDescent="0.25">
      <c r="AC266" s="60"/>
    </row>
    <row r="267" spans="29:29" ht="15.75" customHeight="1" x14ac:dyDescent="0.25">
      <c r="AC267" s="60"/>
    </row>
    <row r="268" spans="29:29" ht="15.75" customHeight="1" x14ac:dyDescent="0.25">
      <c r="AC268" s="60"/>
    </row>
    <row r="269" spans="29:29" ht="15.75" customHeight="1" x14ac:dyDescent="0.25">
      <c r="AC269" s="60"/>
    </row>
    <row r="270" spans="29:29" ht="15.75" customHeight="1" x14ac:dyDescent="0.25">
      <c r="AC270" s="60"/>
    </row>
    <row r="271" spans="29:29" ht="15.75" customHeight="1" x14ac:dyDescent="0.25">
      <c r="AC271" s="60"/>
    </row>
    <row r="272" spans="29:29" ht="15.75" customHeight="1" x14ac:dyDescent="0.25">
      <c r="AC272" s="60"/>
    </row>
    <row r="273" spans="29:29" ht="15.75" customHeight="1" x14ac:dyDescent="0.25">
      <c r="AC273" s="60"/>
    </row>
    <row r="274" spans="29:29" ht="15.75" customHeight="1" x14ac:dyDescent="0.25">
      <c r="AC274" s="60"/>
    </row>
    <row r="275" spans="29:29" ht="15.75" customHeight="1" x14ac:dyDescent="0.25">
      <c r="AC275" s="60"/>
    </row>
    <row r="276" spans="29:29" ht="15.75" customHeight="1" x14ac:dyDescent="0.25">
      <c r="AC276" s="60"/>
    </row>
    <row r="277" spans="29:29" ht="15.75" customHeight="1" x14ac:dyDescent="0.25">
      <c r="AC277" s="60"/>
    </row>
    <row r="278" spans="29:29" ht="15.75" customHeight="1" x14ac:dyDescent="0.25">
      <c r="AC278" s="60"/>
    </row>
    <row r="279" spans="29:29" ht="15.75" customHeight="1" x14ac:dyDescent="0.25">
      <c r="AC279" s="60"/>
    </row>
    <row r="280" spans="29:29" ht="15.75" customHeight="1" x14ac:dyDescent="0.25">
      <c r="AC280" s="60"/>
    </row>
    <row r="281" spans="29:29" ht="15.75" customHeight="1" x14ac:dyDescent="0.25">
      <c r="AC281" s="60"/>
    </row>
    <row r="282" spans="29:29" ht="15.75" customHeight="1" x14ac:dyDescent="0.25">
      <c r="AC282" s="60"/>
    </row>
    <row r="283" spans="29:29" ht="15.75" customHeight="1" x14ac:dyDescent="0.25">
      <c r="AC283" s="60"/>
    </row>
    <row r="284" spans="29:29" ht="15.75" customHeight="1" x14ac:dyDescent="0.25">
      <c r="AC284" s="60"/>
    </row>
    <row r="285" spans="29:29" ht="15.75" customHeight="1" x14ac:dyDescent="0.25">
      <c r="AC285" s="60"/>
    </row>
    <row r="286" spans="29:29" ht="15.75" customHeight="1" x14ac:dyDescent="0.25">
      <c r="AC286" s="60"/>
    </row>
    <row r="287" spans="29:29" ht="15.75" customHeight="1" x14ac:dyDescent="0.25">
      <c r="AC287" s="60"/>
    </row>
    <row r="288" spans="29:29" ht="15.75" customHeight="1" x14ac:dyDescent="0.25">
      <c r="AC288" s="60"/>
    </row>
    <row r="289" spans="29:29" ht="15.75" customHeight="1" x14ac:dyDescent="0.25">
      <c r="AC289" s="60"/>
    </row>
    <row r="290" spans="29:29" ht="15.75" customHeight="1" x14ac:dyDescent="0.25">
      <c r="AC290" s="60"/>
    </row>
    <row r="291" spans="29:29" ht="15.75" customHeight="1" x14ac:dyDescent="0.25">
      <c r="AC291" s="60"/>
    </row>
    <row r="292" spans="29:29" ht="15.75" customHeight="1" x14ac:dyDescent="0.25">
      <c r="AC292" s="60"/>
    </row>
    <row r="293" spans="29:29" ht="15.75" customHeight="1" x14ac:dyDescent="0.25">
      <c r="AC293" s="60"/>
    </row>
    <row r="294" spans="29:29" ht="15.75" customHeight="1" x14ac:dyDescent="0.25">
      <c r="AC294" s="60"/>
    </row>
    <row r="295" spans="29:29" ht="15.75" customHeight="1" x14ac:dyDescent="0.25">
      <c r="AC295" s="60"/>
    </row>
    <row r="296" spans="29:29" ht="15.75" customHeight="1" x14ac:dyDescent="0.25">
      <c r="AC296" s="60"/>
    </row>
    <row r="297" spans="29:29" ht="15.75" customHeight="1" x14ac:dyDescent="0.25">
      <c r="AC297" s="60"/>
    </row>
    <row r="298" spans="29:29" ht="15.75" customHeight="1" x14ac:dyDescent="0.25">
      <c r="AC298" s="60"/>
    </row>
    <row r="299" spans="29:29" ht="15.75" customHeight="1" x14ac:dyDescent="0.25">
      <c r="AC299" s="60"/>
    </row>
    <row r="300" spans="29:29" ht="15.75" customHeight="1" x14ac:dyDescent="0.25">
      <c r="AC300" s="60"/>
    </row>
    <row r="301" spans="29:29" ht="15.75" customHeight="1" x14ac:dyDescent="0.25">
      <c r="AC301" s="60"/>
    </row>
    <row r="302" spans="29:29" ht="15.75" customHeight="1" x14ac:dyDescent="0.25">
      <c r="AC302" s="60"/>
    </row>
    <row r="303" spans="29:29" ht="15.75" customHeight="1" x14ac:dyDescent="0.25">
      <c r="AC303" s="60"/>
    </row>
    <row r="304" spans="29:29" ht="15.75" customHeight="1" x14ac:dyDescent="0.25">
      <c r="AC304" s="60"/>
    </row>
    <row r="305" spans="29:29" ht="15.75" customHeight="1" x14ac:dyDescent="0.25">
      <c r="AC305" s="60"/>
    </row>
    <row r="306" spans="29:29" ht="15.75" customHeight="1" x14ac:dyDescent="0.25">
      <c r="AC306" s="60"/>
    </row>
    <row r="307" spans="29:29" ht="15.75" customHeight="1" x14ac:dyDescent="0.25">
      <c r="AC307" s="60"/>
    </row>
    <row r="308" spans="29:29" ht="15.75" customHeight="1" x14ac:dyDescent="0.25">
      <c r="AC308" s="60"/>
    </row>
    <row r="309" spans="29:29" ht="15.75" customHeight="1" x14ac:dyDescent="0.25">
      <c r="AC309" s="60"/>
    </row>
    <row r="310" spans="29:29" ht="15.75" customHeight="1" x14ac:dyDescent="0.25">
      <c r="AC310" s="60"/>
    </row>
    <row r="311" spans="29:29" ht="15.75" customHeight="1" x14ac:dyDescent="0.25">
      <c r="AC311" s="60"/>
    </row>
    <row r="312" spans="29:29" ht="15.75" customHeight="1" x14ac:dyDescent="0.25">
      <c r="AC312" s="60"/>
    </row>
    <row r="313" spans="29:29" ht="15.75" customHeight="1" x14ac:dyDescent="0.25">
      <c r="AC313" s="60"/>
    </row>
    <row r="314" spans="29:29" ht="15.75" customHeight="1" x14ac:dyDescent="0.25">
      <c r="AC314" s="60"/>
    </row>
    <row r="315" spans="29:29" ht="15.75" customHeight="1" x14ac:dyDescent="0.25">
      <c r="AC315" s="60"/>
    </row>
    <row r="316" spans="29:29" ht="15.75" customHeight="1" x14ac:dyDescent="0.25">
      <c r="AC316" s="60"/>
    </row>
    <row r="317" spans="29:29" ht="15.75" customHeight="1" x14ac:dyDescent="0.25">
      <c r="AC317" s="60"/>
    </row>
    <row r="318" spans="29:29" ht="15.75" customHeight="1" x14ac:dyDescent="0.25">
      <c r="AC318" s="60"/>
    </row>
    <row r="319" spans="29:29" ht="15.75" customHeight="1" x14ac:dyDescent="0.25">
      <c r="AC319" s="60"/>
    </row>
    <row r="320" spans="29:29" ht="15.75" customHeight="1" x14ac:dyDescent="0.25">
      <c r="AC320" s="60"/>
    </row>
    <row r="321" spans="29:29" ht="15.75" customHeight="1" x14ac:dyDescent="0.25">
      <c r="AC321" s="60"/>
    </row>
    <row r="322" spans="29:29" ht="15.75" customHeight="1" x14ac:dyDescent="0.25">
      <c r="AC322" s="60"/>
    </row>
    <row r="323" spans="29:29" ht="15.75" customHeight="1" x14ac:dyDescent="0.25">
      <c r="AC323" s="60"/>
    </row>
    <row r="324" spans="29:29" ht="15.75" customHeight="1" x14ac:dyDescent="0.25">
      <c r="AC324" s="60"/>
    </row>
    <row r="325" spans="29:29" ht="15.75" customHeight="1" x14ac:dyDescent="0.25">
      <c r="AC325" s="60"/>
    </row>
    <row r="326" spans="29:29" ht="15.75" customHeight="1" x14ac:dyDescent="0.25">
      <c r="AC326" s="60"/>
    </row>
    <row r="327" spans="29:29" ht="15.75" customHeight="1" x14ac:dyDescent="0.25">
      <c r="AC327" s="60"/>
    </row>
    <row r="328" spans="29:29" ht="15.75" customHeight="1" x14ac:dyDescent="0.25">
      <c r="AC328" s="60"/>
    </row>
    <row r="329" spans="29:29" ht="15.75" customHeight="1" x14ac:dyDescent="0.25">
      <c r="AC329" s="60"/>
    </row>
    <row r="330" spans="29:29" ht="15.75" customHeight="1" x14ac:dyDescent="0.25">
      <c r="AC330" s="60"/>
    </row>
    <row r="331" spans="29:29" ht="15.75" customHeight="1" x14ac:dyDescent="0.25">
      <c r="AC331" s="60"/>
    </row>
    <row r="332" spans="29:29" ht="15.75" customHeight="1" x14ac:dyDescent="0.25">
      <c r="AC332" s="60"/>
    </row>
    <row r="333" spans="29:29" ht="15.75" customHeight="1" x14ac:dyDescent="0.25">
      <c r="AC333" s="60"/>
    </row>
    <row r="334" spans="29:29" ht="15.75" customHeight="1" x14ac:dyDescent="0.25">
      <c r="AC334" s="60"/>
    </row>
    <row r="335" spans="29:29" ht="15.75" customHeight="1" x14ac:dyDescent="0.25">
      <c r="AC335" s="60"/>
    </row>
    <row r="336" spans="29:29" ht="15.75" customHeight="1" x14ac:dyDescent="0.25">
      <c r="AC336" s="60"/>
    </row>
    <row r="337" spans="29:29" ht="15.75" customHeight="1" x14ac:dyDescent="0.25">
      <c r="AC337" s="60"/>
    </row>
    <row r="338" spans="29:29" ht="15.75" customHeight="1" x14ac:dyDescent="0.25">
      <c r="AC338" s="60"/>
    </row>
    <row r="339" spans="29:29" ht="15.75" customHeight="1" x14ac:dyDescent="0.25">
      <c r="AC339" s="60"/>
    </row>
    <row r="340" spans="29:29" ht="15.75" customHeight="1" x14ac:dyDescent="0.25">
      <c r="AC340" s="60"/>
    </row>
    <row r="341" spans="29:29" ht="15.75" customHeight="1" x14ac:dyDescent="0.25">
      <c r="AC341" s="60"/>
    </row>
    <row r="342" spans="29:29" ht="15.75" customHeight="1" x14ac:dyDescent="0.25">
      <c r="AC342" s="60"/>
    </row>
    <row r="343" spans="29:29" ht="15.75" customHeight="1" x14ac:dyDescent="0.25">
      <c r="AC343" s="60"/>
    </row>
    <row r="344" spans="29:29" ht="15.75" customHeight="1" x14ac:dyDescent="0.25">
      <c r="AC344" s="60"/>
    </row>
    <row r="345" spans="29:29" ht="15.75" customHeight="1" x14ac:dyDescent="0.25">
      <c r="AC345" s="60"/>
    </row>
    <row r="346" spans="29:29" ht="15.75" customHeight="1" x14ac:dyDescent="0.25">
      <c r="AC346" s="60"/>
    </row>
    <row r="347" spans="29:29" ht="15.75" customHeight="1" x14ac:dyDescent="0.25">
      <c r="AC347" s="60"/>
    </row>
    <row r="348" spans="29:29" ht="15.75" customHeight="1" x14ac:dyDescent="0.25">
      <c r="AC348" s="60"/>
    </row>
    <row r="349" spans="29:29" ht="15.75" customHeight="1" x14ac:dyDescent="0.25">
      <c r="AC349" s="60"/>
    </row>
    <row r="350" spans="29:29" ht="15.75" customHeight="1" x14ac:dyDescent="0.25">
      <c r="AC350" s="60"/>
    </row>
    <row r="351" spans="29:29" ht="15.75" customHeight="1" x14ac:dyDescent="0.25">
      <c r="AC351" s="60"/>
    </row>
    <row r="352" spans="29:29" ht="15.75" customHeight="1" x14ac:dyDescent="0.25">
      <c r="AC352" s="60"/>
    </row>
    <row r="353" spans="29:29" ht="15.75" customHeight="1" x14ac:dyDescent="0.25">
      <c r="AC353" s="60"/>
    </row>
    <row r="354" spans="29:29" ht="15.75" customHeight="1" x14ac:dyDescent="0.25">
      <c r="AC354" s="60"/>
    </row>
    <row r="355" spans="29:29" ht="15.75" customHeight="1" x14ac:dyDescent="0.25">
      <c r="AC355" s="60"/>
    </row>
    <row r="356" spans="29:29" ht="15.75" customHeight="1" x14ac:dyDescent="0.25">
      <c r="AC356" s="60"/>
    </row>
    <row r="357" spans="29:29" ht="15.75" customHeight="1" x14ac:dyDescent="0.25">
      <c r="AC357" s="60"/>
    </row>
    <row r="358" spans="29:29" ht="15.75" customHeight="1" x14ac:dyDescent="0.25">
      <c r="AC358" s="60"/>
    </row>
    <row r="359" spans="29:29" ht="15.75" customHeight="1" x14ac:dyDescent="0.25">
      <c r="AC359" s="60"/>
    </row>
    <row r="360" spans="29:29" ht="15.75" customHeight="1" x14ac:dyDescent="0.25">
      <c r="AC360" s="60"/>
    </row>
    <row r="361" spans="29:29" ht="15.75" customHeight="1" x14ac:dyDescent="0.25">
      <c r="AC361" s="60"/>
    </row>
    <row r="362" spans="29:29" ht="15.75" customHeight="1" x14ac:dyDescent="0.25">
      <c r="AC362" s="60"/>
    </row>
    <row r="363" spans="29:29" ht="15.75" customHeight="1" x14ac:dyDescent="0.25">
      <c r="AC363" s="60"/>
    </row>
    <row r="364" spans="29:29" ht="15.75" customHeight="1" x14ac:dyDescent="0.25">
      <c r="AC364" s="60"/>
    </row>
    <row r="365" spans="29:29" ht="15.75" customHeight="1" x14ac:dyDescent="0.25">
      <c r="AC365" s="60"/>
    </row>
    <row r="366" spans="29:29" ht="15.75" customHeight="1" x14ac:dyDescent="0.25">
      <c r="AC366" s="60"/>
    </row>
    <row r="367" spans="29:29" ht="15.75" customHeight="1" x14ac:dyDescent="0.25">
      <c r="AC367" s="60"/>
    </row>
    <row r="368" spans="29:29" ht="15.75" customHeight="1" x14ac:dyDescent="0.25">
      <c r="AC368" s="60"/>
    </row>
    <row r="369" spans="29:29" ht="15.75" customHeight="1" x14ac:dyDescent="0.25">
      <c r="AC369" s="60"/>
    </row>
    <row r="370" spans="29:29" ht="15.75" customHeight="1" x14ac:dyDescent="0.25">
      <c r="AC370" s="60"/>
    </row>
    <row r="371" spans="29:29" ht="15.75" customHeight="1" x14ac:dyDescent="0.25">
      <c r="AC371" s="60"/>
    </row>
    <row r="372" spans="29:29" ht="15.75" customHeight="1" x14ac:dyDescent="0.25">
      <c r="AC372" s="60"/>
    </row>
    <row r="373" spans="29:29" ht="15.75" customHeight="1" x14ac:dyDescent="0.25">
      <c r="AC373" s="60"/>
    </row>
    <row r="374" spans="29:29" ht="15.75" customHeight="1" x14ac:dyDescent="0.25">
      <c r="AC374" s="60"/>
    </row>
    <row r="375" spans="29:29" ht="15.75" customHeight="1" x14ac:dyDescent="0.25">
      <c r="AC375" s="60"/>
    </row>
    <row r="376" spans="29:29" ht="15.75" customHeight="1" x14ac:dyDescent="0.25">
      <c r="AC376" s="60"/>
    </row>
    <row r="377" spans="29:29" ht="15.75" customHeight="1" x14ac:dyDescent="0.25">
      <c r="AC377" s="60"/>
    </row>
    <row r="378" spans="29:29" ht="15.75" customHeight="1" x14ac:dyDescent="0.25">
      <c r="AC378" s="60"/>
    </row>
    <row r="379" spans="29:29" ht="15.75" customHeight="1" x14ac:dyDescent="0.25">
      <c r="AC379" s="60"/>
    </row>
    <row r="380" spans="29:29" ht="15.75" customHeight="1" x14ac:dyDescent="0.25">
      <c r="AC380" s="60"/>
    </row>
    <row r="381" spans="29:29" ht="15.75" customHeight="1" x14ac:dyDescent="0.25">
      <c r="AC381" s="60"/>
    </row>
    <row r="382" spans="29:29" ht="15.75" customHeight="1" x14ac:dyDescent="0.25">
      <c r="AC382" s="60"/>
    </row>
    <row r="383" spans="29:29" ht="15.75" customHeight="1" x14ac:dyDescent="0.25">
      <c r="AC383" s="60"/>
    </row>
    <row r="384" spans="29:29" ht="15.75" customHeight="1" x14ac:dyDescent="0.25">
      <c r="AC384" s="60"/>
    </row>
    <row r="385" spans="29:29" ht="15.75" customHeight="1" x14ac:dyDescent="0.25">
      <c r="AC385" s="60"/>
    </row>
    <row r="386" spans="29:29" ht="15.75" customHeight="1" x14ac:dyDescent="0.25">
      <c r="AC386" s="60"/>
    </row>
    <row r="387" spans="29:29" ht="15.75" customHeight="1" x14ac:dyDescent="0.25">
      <c r="AC387" s="60"/>
    </row>
    <row r="388" spans="29:29" ht="15.75" customHeight="1" x14ac:dyDescent="0.25">
      <c r="AC388" s="60"/>
    </row>
    <row r="389" spans="29:29" ht="15.75" customHeight="1" x14ac:dyDescent="0.25">
      <c r="AC389" s="60"/>
    </row>
    <row r="390" spans="29:29" ht="15.75" customHeight="1" x14ac:dyDescent="0.25">
      <c r="AC390" s="60"/>
    </row>
    <row r="391" spans="29:29" ht="15.75" customHeight="1" x14ac:dyDescent="0.25">
      <c r="AC391" s="60"/>
    </row>
    <row r="392" spans="29:29" ht="15.75" customHeight="1" x14ac:dyDescent="0.25">
      <c r="AC392" s="60"/>
    </row>
    <row r="393" spans="29:29" ht="15.75" customHeight="1" x14ac:dyDescent="0.25">
      <c r="AC393" s="60"/>
    </row>
    <row r="394" spans="29:29" ht="15.75" customHeight="1" x14ac:dyDescent="0.25">
      <c r="AC394" s="60"/>
    </row>
    <row r="395" spans="29:29" ht="15.75" customHeight="1" x14ac:dyDescent="0.25">
      <c r="AC395" s="60"/>
    </row>
    <row r="396" spans="29:29" ht="15.75" customHeight="1" x14ac:dyDescent="0.25">
      <c r="AC396" s="60"/>
    </row>
    <row r="397" spans="29:29" ht="15.75" customHeight="1" x14ac:dyDescent="0.25">
      <c r="AC397" s="60"/>
    </row>
    <row r="398" spans="29:29" ht="15.75" customHeight="1" x14ac:dyDescent="0.25">
      <c r="AC398" s="60"/>
    </row>
    <row r="399" spans="29:29" ht="15.75" customHeight="1" x14ac:dyDescent="0.25">
      <c r="AC399" s="60"/>
    </row>
    <row r="400" spans="29:29" ht="15.75" customHeight="1" x14ac:dyDescent="0.25">
      <c r="AC400" s="60"/>
    </row>
    <row r="401" spans="29:29" ht="15.75" customHeight="1" x14ac:dyDescent="0.25">
      <c r="AC401" s="60"/>
    </row>
    <row r="402" spans="29:29" ht="15.75" customHeight="1" x14ac:dyDescent="0.25">
      <c r="AC402" s="60"/>
    </row>
    <row r="403" spans="29:29" ht="15.75" customHeight="1" x14ac:dyDescent="0.25">
      <c r="AC403" s="60"/>
    </row>
    <row r="404" spans="29:29" ht="15.75" customHeight="1" x14ac:dyDescent="0.25">
      <c r="AC404" s="60"/>
    </row>
    <row r="405" spans="29:29" ht="15.75" customHeight="1" x14ac:dyDescent="0.25">
      <c r="AC405" s="60"/>
    </row>
    <row r="406" spans="29:29" ht="15.75" customHeight="1" x14ac:dyDescent="0.25">
      <c r="AC406" s="60"/>
    </row>
    <row r="407" spans="29:29" ht="15.75" customHeight="1" x14ac:dyDescent="0.25">
      <c r="AC407" s="60"/>
    </row>
    <row r="408" spans="29:29" ht="15.75" customHeight="1" x14ac:dyDescent="0.25">
      <c r="AC408" s="60"/>
    </row>
    <row r="409" spans="29:29" ht="15.75" customHeight="1" x14ac:dyDescent="0.25">
      <c r="AC409" s="60"/>
    </row>
    <row r="410" spans="29:29" ht="15.75" customHeight="1" x14ac:dyDescent="0.25">
      <c r="AC410" s="60"/>
    </row>
    <row r="411" spans="29:29" ht="15.75" customHeight="1" x14ac:dyDescent="0.25">
      <c r="AC411" s="60"/>
    </row>
    <row r="412" spans="29:29" ht="15.75" customHeight="1" x14ac:dyDescent="0.25">
      <c r="AC412" s="60"/>
    </row>
    <row r="413" spans="29:29" ht="15.75" customHeight="1" x14ac:dyDescent="0.25">
      <c r="AC413" s="60"/>
    </row>
    <row r="414" spans="29:29" ht="15.75" customHeight="1" x14ac:dyDescent="0.25">
      <c r="AC414" s="60"/>
    </row>
    <row r="415" spans="29:29" ht="15.75" customHeight="1" x14ac:dyDescent="0.25">
      <c r="AC415" s="60"/>
    </row>
    <row r="416" spans="29:29" ht="15.75" customHeight="1" x14ac:dyDescent="0.25">
      <c r="AC416" s="60"/>
    </row>
    <row r="417" spans="29:29" ht="15.75" customHeight="1" x14ac:dyDescent="0.25">
      <c r="AC417" s="60"/>
    </row>
    <row r="418" spans="29:29" ht="15.75" customHeight="1" x14ac:dyDescent="0.25">
      <c r="AC418" s="60"/>
    </row>
    <row r="419" spans="29:29" ht="15.75" customHeight="1" x14ac:dyDescent="0.25">
      <c r="AC419" s="60"/>
    </row>
    <row r="420" spans="29:29" ht="15.75" customHeight="1" x14ac:dyDescent="0.25">
      <c r="AC420" s="60"/>
    </row>
    <row r="421" spans="29:29" ht="15.75" customHeight="1" x14ac:dyDescent="0.25">
      <c r="AC421" s="60"/>
    </row>
    <row r="422" spans="29:29" ht="15.75" customHeight="1" x14ac:dyDescent="0.25">
      <c r="AC422" s="60"/>
    </row>
    <row r="423" spans="29:29" ht="15.75" customHeight="1" x14ac:dyDescent="0.25">
      <c r="AC423" s="60"/>
    </row>
    <row r="424" spans="29:29" ht="15.75" customHeight="1" x14ac:dyDescent="0.25">
      <c r="AC424" s="60"/>
    </row>
    <row r="425" spans="29:29" ht="15.75" customHeight="1" x14ac:dyDescent="0.25">
      <c r="AC425" s="60"/>
    </row>
    <row r="426" spans="29:29" ht="15.75" customHeight="1" x14ac:dyDescent="0.25">
      <c r="AC426" s="60"/>
    </row>
    <row r="427" spans="29:29" ht="15.75" customHeight="1" x14ac:dyDescent="0.25">
      <c r="AC427" s="60"/>
    </row>
    <row r="428" spans="29:29" ht="15.75" customHeight="1" x14ac:dyDescent="0.25">
      <c r="AC428" s="60"/>
    </row>
    <row r="429" spans="29:29" ht="15.75" customHeight="1" x14ac:dyDescent="0.25">
      <c r="AC429" s="60"/>
    </row>
    <row r="430" spans="29:29" ht="15.75" customHeight="1" x14ac:dyDescent="0.25">
      <c r="AC430" s="60"/>
    </row>
    <row r="431" spans="29:29" ht="15.75" customHeight="1" x14ac:dyDescent="0.25">
      <c r="AC431" s="60"/>
    </row>
    <row r="432" spans="29:29" ht="15.75" customHeight="1" x14ac:dyDescent="0.25">
      <c r="AC432" s="60"/>
    </row>
    <row r="433" spans="29:29" ht="15.75" customHeight="1" x14ac:dyDescent="0.25">
      <c r="AC433" s="60"/>
    </row>
    <row r="434" spans="29:29" ht="15.75" customHeight="1" x14ac:dyDescent="0.25">
      <c r="AC434" s="60"/>
    </row>
    <row r="435" spans="29:29" ht="15.75" customHeight="1" x14ac:dyDescent="0.25">
      <c r="AC435" s="60"/>
    </row>
    <row r="436" spans="29:29" ht="15.75" customHeight="1" x14ac:dyDescent="0.25">
      <c r="AC436" s="60"/>
    </row>
    <row r="437" spans="29:29" ht="15.75" customHeight="1" x14ac:dyDescent="0.25">
      <c r="AC437" s="60"/>
    </row>
    <row r="438" spans="29:29" ht="15.75" customHeight="1" x14ac:dyDescent="0.25">
      <c r="AC438" s="60"/>
    </row>
    <row r="439" spans="29:29" ht="15.75" customHeight="1" x14ac:dyDescent="0.25">
      <c r="AC439" s="60"/>
    </row>
    <row r="440" spans="29:29" ht="15.75" customHeight="1" x14ac:dyDescent="0.25">
      <c r="AC440" s="60"/>
    </row>
    <row r="441" spans="29:29" ht="15.75" customHeight="1" x14ac:dyDescent="0.25">
      <c r="AC441" s="60"/>
    </row>
    <row r="442" spans="29:29" ht="15.75" customHeight="1" x14ac:dyDescent="0.25">
      <c r="AC442" s="60"/>
    </row>
    <row r="443" spans="29:29" ht="15.75" customHeight="1" x14ac:dyDescent="0.25">
      <c r="AC443" s="60"/>
    </row>
    <row r="444" spans="29:29" ht="15.75" customHeight="1" x14ac:dyDescent="0.25">
      <c r="AC444" s="60"/>
    </row>
    <row r="445" spans="29:29" ht="15.75" customHeight="1" x14ac:dyDescent="0.25">
      <c r="AC445" s="60"/>
    </row>
    <row r="446" spans="29:29" ht="15.75" customHeight="1" x14ac:dyDescent="0.25">
      <c r="AC446" s="60"/>
    </row>
    <row r="447" spans="29:29" ht="15.75" customHeight="1" x14ac:dyDescent="0.25">
      <c r="AC447" s="60"/>
    </row>
    <row r="448" spans="29:29" ht="15.75" customHeight="1" x14ac:dyDescent="0.25">
      <c r="AC448" s="60"/>
    </row>
    <row r="449" spans="29:29" ht="15.75" customHeight="1" x14ac:dyDescent="0.25">
      <c r="AC449" s="60"/>
    </row>
    <row r="450" spans="29:29" ht="15.75" customHeight="1" x14ac:dyDescent="0.25">
      <c r="AC450" s="60"/>
    </row>
    <row r="451" spans="29:29" ht="15.75" customHeight="1" x14ac:dyDescent="0.25">
      <c r="AC451" s="60"/>
    </row>
    <row r="452" spans="29:29" ht="15.75" customHeight="1" x14ac:dyDescent="0.25">
      <c r="AC452" s="60"/>
    </row>
    <row r="453" spans="29:29" ht="15.75" customHeight="1" x14ac:dyDescent="0.25">
      <c r="AC453" s="60"/>
    </row>
    <row r="454" spans="29:29" ht="15.75" customHeight="1" x14ac:dyDescent="0.25">
      <c r="AC454" s="60"/>
    </row>
    <row r="455" spans="29:29" ht="15.75" customHeight="1" x14ac:dyDescent="0.25">
      <c r="AC455" s="60"/>
    </row>
    <row r="456" spans="29:29" ht="15.75" customHeight="1" x14ac:dyDescent="0.25">
      <c r="AC456" s="60"/>
    </row>
    <row r="457" spans="29:29" ht="15.75" customHeight="1" x14ac:dyDescent="0.25">
      <c r="AC457" s="60"/>
    </row>
    <row r="458" spans="29:29" ht="15.75" customHeight="1" x14ac:dyDescent="0.25">
      <c r="AC458" s="60"/>
    </row>
    <row r="459" spans="29:29" ht="15.75" customHeight="1" x14ac:dyDescent="0.25">
      <c r="AC459" s="60"/>
    </row>
    <row r="460" spans="29:29" ht="15.75" customHeight="1" x14ac:dyDescent="0.25">
      <c r="AC460" s="60"/>
    </row>
    <row r="461" spans="29:29" ht="15.75" customHeight="1" x14ac:dyDescent="0.25">
      <c r="AC461" s="60"/>
    </row>
    <row r="462" spans="29:29" ht="15.75" customHeight="1" x14ac:dyDescent="0.25">
      <c r="AC462" s="60"/>
    </row>
    <row r="463" spans="29:29" ht="15.75" customHeight="1" x14ac:dyDescent="0.25">
      <c r="AC463" s="60"/>
    </row>
    <row r="464" spans="29:29" ht="15.75" customHeight="1" x14ac:dyDescent="0.25">
      <c r="AC464" s="60"/>
    </row>
    <row r="465" spans="29:29" ht="15.75" customHeight="1" x14ac:dyDescent="0.25">
      <c r="AC465" s="60"/>
    </row>
    <row r="466" spans="29:29" ht="15.75" customHeight="1" x14ac:dyDescent="0.25">
      <c r="AC466" s="60"/>
    </row>
    <row r="467" spans="29:29" ht="15.75" customHeight="1" x14ac:dyDescent="0.25">
      <c r="AC467" s="60"/>
    </row>
    <row r="468" spans="29:29" ht="15.75" customHeight="1" x14ac:dyDescent="0.25">
      <c r="AC468" s="60"/>
    </row>
    <row r="469" spans="29:29" ht="15.75" customHeight="1" x14ac:dyDescent="0.25">
      <c r="AC469" s="60"/>
    </row>
    <row r="470" spans="29:29" ht="15.75" customHeight="1" x14ac:dyDescent="0.25">
      <c r="AC470" s="60"/>
    </row>
    <row r="471" spans="29:29" ht="15.75" customHeight="1" x14ac:dyDescent="0.25">
      <c r="AC471" s="60"/>
    </row>
    <row r="472" spans="29:29" ht="15.75" customHeight="1" x14ac:dyDescent="0.25">
      <c r="AC472" s="60"/>
    </row>
    <row r="473" spans="29:29" ht="15.75" customHeight="1" x14ac:dyDescent="0.25">
      <c r="AC473" s="60"/>
    </row>
    <row r="474" spans="29:29" ht="15.75" customHeight="1" x14ac:dyDescent="0.25">
      <c r="AC474" s="60"/>
    </row>
    <row r="475" spans="29:29" ht="15.75" customHeight="1" x14ac:dyDescent="0.25">
      <c r="AC475" s="60"/>
    </row>
    <row r="476" spans="29:29" ht="15.75" customHeight="1" x14ac:dyDescent="0.25">
      <c r="AC476" s="60"/>
    </row>
    <row r="477" spans="29:29" ht="15.75" customHeight="1" x14ac:dyDescent="0.25">
      <c r="AC477" s="60"/>
    </row>
    <row r="478" spans="29:29" ht="15.75" customHeight="1" x14ac:dyDescent="0.25">
      <c r="AC478" s="60"/>
    </row>
    <row r="479" spans="29:29" ht="15.75" customHeight="1" x14ac:dyDescent="0.25">
      <c r="AC479" s="60"/>
    </row>
    <row r="480" spans="29:29" ht="15.75" customHeight="1" x14ac:dyDescent="0.25">
      <c r="AC480" s="60"/>
    </row>
    <row r="481" spans="29:29" ht="15.75" customHeight="1" x14ac:dyDescent="0.25">
      <c r="AC481" s="60"/>
    </row>
    <row r="482" spans="29:29" ht="15.75" customHeight="1" x14ac:dyDescent="0.25">
      <c r="AC482" s="60"/>
    </row>
    <row r="483" spans="29:29" ht="15.75" customHeight="1" x14ac:dyDescent="0.25">
      <c r="AC483" s="60"/>
    </row>
    <row r="484" spans="29:29" ht="15.75" customHeight="1" x14ac:dyDescent="0.25">
      <c r="AC484" s="60"/>
    </row>
    <row r="485" spans="29:29" ht="15.75" customHeight="1" x14ac:dyDescent="0.25">
      <c r="AC485" s="60"/>
    </row>
    <row r="486" spans="29:29" ht="15.75" customHeight="1" x14ac:dyDescent="0.25">
      <c r="AC486" s="60"/>
    </row>
    <row r="487" spans="29:29" ht="15.75" customHeight="1" x14ac:dyDescent="0.25">
      <c r="AC487" s="60"/>
    </row>
    <row r="488" spans="29:29" ht="15.75" customHeight="1" x14ac:dyDescent="0.25">
      <c r="AC488" s="60"/>
    </row>
    <row r="489" spans="29:29" ht="15.75" customHeight="1" x14ac:dyDescent="0.25">
      <c r="AC489" s="60"/>
    </row>
    <row r="490" spans="29:29" ht="15.75" customHeight="1" x14ac:dyDescent="0.25">
      <c r="AC490" s="60"/>
    </row>
    <row r="491" spans="29:29" ht="15.75" customHeight="1" x14ac:dyDescent="0.25">
      <c r="AC491" s="60"/>
    </row>
    <row r="492" spans="29:29" ht="15.75" customHeight="1" x14ac:dyDescent="0.25">
      <c r="AC492" s="60"/>
    </row>
    <row r="493" spans="29:29" ht="15.75" customHeight="1" x14ac:dyDescent="0.25">
      <c r="AC493" s="60"/>
    </row>
    <row r="494" spans="29:29" ht="15.75" customHeight="1" x14ac:dyDescent="0.25">
      <c r="AC494" s="60"/>
    </row>
    <row r="495" spans="29:29" ht="15.75" customHeight="1" x14ac:dyDescent="0.25">
      <c r="AC495" s="60"/>
    </row>
    <row r="496" spans="29:29" ht="15.75" customHeight="1" x14ac:dyDescent="0.25">
      <c r="AC496" s="60"/>
    </row>
    <row r="497" spans="29:29" ht="15.75" customHeight="1" x14ac:dyDescent="0.25">
      <c r="AC497" s="60"/>
    </row>
    <row r="498" spans="29:29" ht="15.75" customHeight="1" x14ac:dyDescent="0.25">
      <c r="AC498" s="60"/>
    </row>
    <row r="499" spans="29:29" ht="15.75" customHeight="1" x14ac:dyDescent="0.25">
      <c r="AC499" s="60"/>
    </row>
    <row r="500" spans="29:29" ht="15.75" customHeight="1" x14ac:dyDescent="0.25">
      <c r="AC500" s="60"/>
    </row>
    <row r="501" spans="29:29" ht="15.75" customHeight="1" x14ac:dyDescent="0.25">
      <c r="AC501" s="60"/>
    </row>
    <row r="502" spans="29:29" ht="15.75" customHeight="1" x14ac:dyDescent="0.25">
      <c r="AC502" s="60"/>
    </row>
    <row r="503" spans="29:29" ht="15.75" customHeight="1" x14ac:dyDescent="0.25">
      <c r="AC503" s="60"/>
    </row>
    <row r="504" spans="29:29" ht="15.75" customHeight="1" x14ac:dyDescent="0.25">
      <c r="AC504" s="60"/>
    </row>
    <row r="505" spans="29:29" ht="15.75" customHeight="1" x14ac:dyDescent="0.25">
      <c r="AC505" s="60"/>
    </row>
    <row r="506" spans="29:29" ht="15.75" customHeight="1" x14ac:dyDescent="0.25">
      <c r="AC506" s="60"/>
    </row>
    <row r="507" spans="29:29" ht="15.75" customHeight="1" x14ac:dyDescent="0.25">
      <c r="AC507" s="60"/>
    </row>
    <row r="508" spans="29:29" ht="15.75" customHeight="1" x14ac:dyDescent="0.25">
      <c r="AC508" s="60"/>
    </row>
    <row r="509" spans="29:29" ht="15.75" customHeight="1" x14ac:dyDescent="0.25">
      <c r="AC509" s="60"/>
    </row>
    <row r="510" spans="29:29" ht="15.75" customHeight="1" x14ac:dyDescent="0.25">
      <c r="AC510" s="60"/>
    </row>
    <row r="511" spans="29:29" ht="15.75" customHeight="1" x14ac:dyDescent="0.25">
      <c r="AC511" s="60"/>
    </row>
    <row r="512" spans="29:29" ht="15.75" customHeight="1" x14ac:dyDescent="0.25">
      <c r="AC512" s="60"/>
    </row>
    <row r="513" spans="29:29" ht="15.75" customHeight="1" x14ac:dyDescent="0.25">
      <c r="AC513" s="60"/>
    </row>
    <row r="514" spans="29:29" ht="15.75" customHeight="1" x14ac:dyDescent="0.25">
      <c r="AC514" s="60"/>
    </row>
    <row r="515" spans="29:29" ht="15.75" customHeight="1" x14ac:dyDescent="0.25">
      <c r="AC515" s="60"/>
    </row>
    <row r="516" spans="29:29" ht="15.75" customHeight="1" x14ac:dyDescent="0.25">
      <c r="AC516" s="60"/>
    </row>
    <row r="517" spans="29:29" ht="15.75" customHeight="1" x14ac:dyDescent="0.25">
      <c r="AC517" s="60"/>
    </row>
    <row r="518" spans="29:29" ht="15.75" customHeight="1" x14ac:dyDescent="0.25">
      <c r="AC518" s="60"/>
    </row>
    <row r="519" spans="29:29" ht="15.75" customHeight="1" x14ac:dyDescent="0.25">
      <c r="AC519" s="60"/>
    </row>
    <row r="520" spans="29:29" ht="15.75" customHeight="1" x14ac:dyDescent="0.25">
      <c r="AC520" s="60"/>
    </row>
    <row r="521" spans="29:29" ht="15.75" customHeight="1" x14ac:dyDescent="0.25">
      <c r="AC521" s="60"/>
    </row>
    <row r="522" spans="29:29" ht="15.75" customHeight="1" x14ac:dyDescent="0.25">
      <c r="AC522" s="60"/>
    </row>
    <row r="523" spans="29:29" ht="15.75" customHeight="1" x14ac:dyDescent="0.25">
      <c r="AC523" s="60"/>
    </row>
    <row r="524" spans="29:29" ht="15.75" customHeight="1" x14ac:dyDescent="0.25">
      <c r="AC524" s="60"/>
    </row>
    <row r="525" spans="29:29" ht="15.75" customHeight="1" x14ac:dyDescent="0.25">
      <c r="AC525" s="60"/>
    </row>
    <row r="526" spans="29:29" ht="15.75" customHeight="1" x14ac:dyDescent="0.25">
      <c r="AC526" s="60"/>
    </row>
    <row r="527" spans="29:29" ht="15.75" customHeight="1" x14ac:dyDescent="0.25">
      <c r="AC527" s="60"/>
    </row>
    <row r="528" spans="29:29" ht="15.75" customHeight="1" x14ac:dyDescent="0.25">
      <c r="AC528" s="60"/>
    </row>
    <row r="529" spans="29:29" ht="15.75" customHeight="1" x14ac:dyDescent="0.25">
      <c r="AC529" s="60"/>
    </row>
    <row r="530" spans="29:29" ht="15.75" customHeight="1" x14ac:dyDescent="0.25">
      <c r="AC530" s="60"/>
    </row>
    <row r="531" spans="29:29" ht="15.75" customHeight="1" x14ac:dyDescent="0.25">
      <c r="AC531" s="60"/>
    </row>
    <row r="532" spans="29:29" ht="15.75" customHeight="1" x14ac:dyDescent="0.25">
      <c r="AC532" s="60"/>
    </row>
    <row r="533" spans="29:29" ht="15.75" customHeight="1" x14ac:dyDescent="0.25">
      <c r="AC533" s="60"/>
    </row>
    <row r="534" spans="29:29" ht="15.75" customHeight="1" x14ac:dyDescent="0.25">
      <c r="AC534" s="60"/>
    </row>
    <row r="535" spans="29:29" ht="15.75" customHeight="1" x14ac:dyDescent="0.25">
      <c r="AC535" s="60"/>
    </row>
    <row r="536" spans="29:29" ht="15.75" customHeight="1" x14ac:dyDescent="0.25">
      <c r="AC536" s="60"/>
    </row>
    <row r="537" spans="29:29" ht="15.75" customHeight="1" x14ac:dyDescent="0.25">
      <c r="AC537" s="60"/>
    </row>
    <row r="538" spans="29:29" ht="15.75" customHeight="1" x14ac:dyDescent="0.25">
      <c r="AC538" s="60"/>
    </row>
    <row r="539" spans="29:29" ht="15.75" customHeight="1" x14ac:dyDescent="0.25">
      <c r="AC539" s="60"/>
    </row>
    <row r="540" spans="29:29" ht="15.75" customHeight="1" x14ac:dyDescent="0.25">
      <c r="AC540" s="60"/>
    </row>
    <row r="541" spans="29:29" ht="15.75" customHeight="1" x14ac:dyDescent="0.25">
      <c r="AC541" s="60"/>
    </row>
    <row r="542" spans="29:29" ht="15.75" customHeight="1" x14ac:dyDescent="0.25">
      <c r="AC542" s="60"/>
    </row>
    <row r="543" spans="29:29" ht="15.75" customHeight="1" x14ac:dyDescent="0.25">
      <c r="AC543" s="60"/>
    </row>
    <row r="544" spans="29:29" ht="15.75" customHeight="1" x14ac:dyDescent="0.25">
      <c r="AC544" s="60"/>
    </row>
    <row r="545" spans="29:29" ht="15.75" customHeight="1" x14ac:dyDescent="0.25">
      <c r="AC545" s="60"/>
    </row>
    <row r="546" spans="29:29" ht="15.75" customHeight="1" x14ac:dyDescent="0.25">
      <c r="AC546" s="60"/>
    </row>
    <row r="547" spans="29:29" ht="15.75" customHeight="1" x14ac:dyDescent="0.25">
      <c r="AC547" s="60"/>
    </row>
    <row r="548" spans="29:29" ht="15.75" customHeight="1" x14ac:dyDescent="0.25">
      <c r="AC548" s="60"/>
    </row>
    <row r="549" spans="29:29" ht="15.75" customHeight="1" x14ac:dyDescent="0.25">
      <c r="AC549" s="60"/>
    </row>
    <row r="550" spans="29:29" ht="15.75" customHeight="1" x14ac:dyDescent="0.25">
      <c r="AC550" s="60"/>
    </row>
    <row r="551" spans="29:29" ht="15.75" customHeight="1" x14ac:dyDescent="0.25">
      <c r="AC551" s="60"/>
    </row>
    <row r="552" spans="29:29" ht="15.75" customHeight="1" x14ac:dyDescent="0.25">
      <c r="AC552" s="60"/>
    </row>
    <row r="553" spans="29:29" ht="15.75" customHeight="1" x14ac:dyDescent="0.25">
      <c r="AC553" s="60"/>
    </row>
    <row r="554" spans="29:29" ht="15.75" customHeight="1" x14ac:dyDescent="0.25">
      <c r="AC554" s="60"/>
    </row>
    <row r="555" spans="29:29" ht="15.75" customHeight="1" x14ac:dyDescent="0.25">
      <c r="AC555" s="60"/>
    </row>
    <row r="556" spans="29:29" ht="15.75" customHeight="1" x14ac:dyDescent="0.25">
      <c r="AC556" s="60"/>
    </row>
    <row r="557" spans="29:29" ht="15.75" customHeight="1" x14ac:dyDescent="0.25">
      <c r="AC557" s="60"/>
    </row>
    <row r="558" spans="29:29" ht="15.75" customHeight="1" x14ac:dyDescent="0.25">
      <c r="AC558" s="60"/>
    </row>
    <row r="559" spans="29:29" ht="15.75" customHeight="1" x14ac:dyDescent="0.25">
      <c r="AC559" s="60"/>
    </row>
    <row r="560" spans="29:29" ht="15.75" customHeight="1" x14ac:dyDescent="0.25">
      <c r="AC560" s="60"/>
    </row>
    <row r="561" spans="29:29" ht="15.75" customHeight="1" x14ac:dyDescent="0.25">
      <c r="AC561" s="60"/>
    </row>
    <row r="562" spans="29:29" ht="15.75" customHeight="1" x14ac:dyDescent="0.25">
      <c r="AC562" s="60"/>
    </row>
    <row r="563" spans="29:29" ht="15.75" customHeight="1" x14ac:dyDescent="0.25">
      <c r="AC563" s="60"/>
    </row>
    <row r="564" spans="29:29" ht="15.75" customHeight="1" x14ac:dyDescent="0.25">
      <c r="AC564" s="60"/>
    </row>
    <row r="565" spans="29:29" ht="15.75" customHeight="1" x14ac:dyDescent="0.25">
      <c r="AC565" s="60"/>
    </row>
    <row r="566" spans="29:29" ht="15.75" customHeight="1" x14ac:dyDescent="0.25">
      <c r="AC566" s="60"/>
    </row>
    <row r="567" spans="29:29" ht="15.75" customHeight="1" x14ac:dyDescent="0.25">
      <c r="AC567" s="60"/>
    </row>
    <row r="568" spans="29:29" ht="15.75" customHeight="1" x14ac:dyDescent="0.25">
      <c r="AC568" s="60"/>
    </row>
    <row r="569" spans="29:29" ht="15.75" customHeight="1" x14ac:dyDescent="0.25">
      <c r="AC569" s="60"/>
    </row>
    <row r="570" spans="29:29" ht="15.75" customHeight="1" x14ac:dyDescent="0.25">
      <c r="AC570" s="60"/>
    </row>
    <row r="571" spans="29:29" ht="15.75" customHeight="1" x14ac:dyDescent="0.25">
      <c r="AC571" s="60"/>
    </row>
    <row r="572" spans="29:29" ht="15.75" customHeight="1" x14ac:dyDescent="0.25">
      <c r="AC572" s="60"/>
    </row>
    <row r="573" spans="29:29" ht="15.75" customHeight="1" x14ac:dyDescent="0.25">
      <c r="AC573" s="60"/>
    </row>
    <row r="574" spans="29:29" ht="15.75" customHeight="1" x14ac:dyDescent="0.25">
      <c r="AC574" s="60"/>
    </row>
    <row r="575" spans="29:29" ht="15.75" customHeight="1" x14ac:dyDescent="0.25">
      <c r="AC575" s="60"/>
    </row>
    <row r="576" spans="29:29" ht="15.75" customHeight="1" x14ac:dyDescent="0.25">
      <c r="AC576" s="60"/>
    </row>
    <row r="577" spans="29:29" ht="15.75" customHeight="1" x14ac:dyDescent="0.25">
      <c r="AC577" s="60"/>
    </row>
    <row r="578" spans="29:29" ht="15.75" customHeight="1" x14ac:dyDescent="0.25">
      <c r="AC578" s="60"/>
    </row>
    <row r="579" spans="29:29" ht="15.75" customHeight="1" x14ac:dyDescent="0.25">
      <c r="AC579" s="60"/>
    </row>
    <row r="580" spans="29:29" ht="15.75" customHeight="1" x14ac:dyDescent="0.25">
      <c r="AC580" s="60"/>
    </row>
    <row r="581" spans="29:29" ht="15.75" customHeight="1" x14ac:dyDescent="0.25">
      <c r="AC581" s="60"/>
    </row>
    <row r="582" spans="29:29" ht="15.75" customHeight="1" x14ac:dyDescent="0.25">
      <c r="AC582" s="60"/>
    </row>
    <row r="583" spans="29:29" ht="15.75" customHeight="1" x14ac:dyDescent="0.25">
      <c r="AC583" s="60"/>
    </row>
    <row r="584" spans="29:29" ht="15.75" customHeight="1" x14ac:dyDescent="0.25">
      <c r="AC584" s="60"/>
    </row>
    <row r="585" spans="29:29" ht="15.75" customHeight="1" x14ac:dyDescent="0.25">
      <c r="AC585" s="60"/>
    </row>
    <row r="586" spans="29:29" ht="15.75" customHeight="1" x14ac:dyDescent="0.25">
      <c r="AC586" s="60"/>
    </row>
    <row r="587" spans="29:29" ht="15.75" customHeight="1" x14ac:dyDescent="0.25">
      <c r="AC587" s="60"/>
    </row>
    <row r="588" spans="29:29" ht="15.75" customHeight="1" x14ac:dyDescent="0.25">
      <c r="AC588" s="60"/>
    </row>
    <row r="589" spans="29:29" ht="15.75" customHeight="1" x14ac:dyDescent="0.25">
      <c r="AC589" s="60"/>
    </row>
    <row r="590" spans="29:29" ht="15.75" customHeight="1" x14ac:dyDescent="0.25">
      <c r="AC590" s="60"/>
    </row>
    <row r="591" spans="29:29" ht="15.75" customHeight="1" x14ac:dyDescent="0.25">
      <c r="AC591" s="60"/>
    </row>
    <row r="592" spans="29:29" ht="15.75" customHeight="1" x14ac:dyDescent="0.25">
      <c r="AC592" s="60"/>
    </row>
    <row r="593" spans="29:29" ht="15.75" customHeight="1" x14ac:dyDescent="0.25">
      <c r="AC593" s="60"/>
    </row>
    <row r="594" spans="29:29" ht="15.75" customHeight="1" x14ac:dyDescent="0.25">
      <c r="AC594" s="60"/>
    </row>
    <row r="595" spans="29:29" ht="15.75" customHeight="1" x14ac:dyDescent="0.25">
      <c r="AC595" s="60"/>
    </row>
    <row r="596" spans="29:29" ht="15.75" customHeight="1" x14ac:dyDescent="0.25">
      <c r="AC596" s="60"/>
    </row>
    <row r="597" spans="29:29" ht="15.75" customHeight="1" x14ac:dyDescent="0.25">
      <c r="AC597" s="60"/>
    </row>
    <row r="598" spans="29:29" ht="15.75" customHeight="1" x14ac:dyDescent="0.25">
      <c r="AC598" s="60"/>
    </row>
    <row r="599" spans="29:29" ht="15.75" customHeight="1" x14ac:dyDescent="0.25">
      <c r="AC599" s="60"/>
    </row>
    <row r="600" spans="29:29" ht="15.75" customHeight="1" x14ac:dyDescent="0.25">
      <c r="AC600" s="60"/>
    </row>
    <row r="601" spans="29:29" ht="15.75" customHeight="1" x14ac:dyDescent="0.25">
      <c r="AC601" s="60"/>
    </row>
    <row r="602" spans="29:29" ht="15.75" customHeight="1" x14ac:dyDescent="0.25">
      <c r="AC602" s="60"/>
    </row>
    <row r="603" spans="29:29" ht="15.75" customHeight="1" x14ac:dyDescent="0.25">
      <c r="AC603" s="60"/>
    </row>
    <row r="604" spans="29:29" ht="15.75" customHeight="1" x14ac:dyDescent="0.25">
      <c r="AC604" s="60"/>
    </row>
    <row r="605" spans="29:29" ht="15.75" customHeight="1" x14ac:dyDescent="0.25">
      <c r="AC605" s="60"/>
    </row>
    <row r="606" spans="29:29" ht="15.75" customHeight="1" x14ac:dyDescent="0.25">
      <c r="AC606" s="60"/>
    </row>
    <row r="607" spans="29:29" ht="15.75" customHeight="1" x14ac:dyDescent="0.25">
      <c r="AC607" s="60"/>
    </row>
    <row r="608" spans="29:29" ht="15.75" customHeight="1" x14ac:dyDescent="0.25">
      <c r="AC608" s="60"/>
    </row>
    <row r="609" spans="29:29" ht="15.75" customHeight="1" x14ac:dyDescent="0.25">
      <c r="AC609" s="60"/>
    </row>
    <row r="610" spans="29:29" ht="15.75" customHeight="1" x14ac:dyDescent="0.25">
      <c r="AC610" s="60"/>
    </row>
    <row r="611" spans="29:29" ht="15.75" customHeight="1" x14ac:dyDescent="0.25">
      <c r="AC611" s="60"/>
    </row>
    <row r="612" spans="29:29" ht="15.75" customHeight="1" x14ac:dyDescent="0.25">
      <c r="AC612" s="60"/>
    </row>
    <row r="613" spans="29:29" ht="15.75" customHeight="1" x14ac:dyDescent="0.25">
      <c r="AC613" s="60"/>
    </row>
    <row r="614" spans="29:29" ht="15.75" customHeight="1" x14ac:dyDescent="0.25">
      <c r="AC614" s="60"/>
    </row>
    <row r="615" spans="29:29" ht="15.75" customHeight="1" x14ac:dyDescent="0.25">
      <c r="AC615" s="60"/>
    </row>
    <row r="616" spans="29:29" ht="15.75" customHeight="1" x14ac:dyDescent="0.25">
      <c r="AC616" s="60"/>
    </row>
    <row r="617" spans="29:29" ht="15.75" customHeight="1" x14ac:dyDescent="0.25">
      <c r="AC617" s="60"/>
    </row>
    <row r="618" spans="29:29" ht="15.75" customHeight="1" x14ac:dyDescent="0.25">
      <c r="AC618" s="60"/>
    </row>
    <row r="619" spans="29:29" ht="15.75" customHeight="1" x14ac:dyDescent="0.25">
      <c r="AC619" s="60"/>
    </row>
    <row r="620" spans="29:29" ht="15.75" customHeight="1" x14ac:dyDescent="0.25">
      <c r="AC620" s="60"/>
    </row>
    <row r="621" spans="29:29" ht="15.75" customHeight="1" x14ac:dyDescent="0.25">
      <c r="AC621" s="60"/>
    </row>
    <row r="622" spans="29:29" ht="15.75" customHeight="1" x14ac:dyDescent="0.25">
      <c r="AC622" s="60"/>
    </row>
    <row r="623" spans="29:29" ht="15.75" customHeight="1" x14ac:dyDescent="0.25">
      <c r="AC623" s="60"/>
    </row>
    <row r="624" spans="29:29" ht="15.75" customHeight="1" x14ac:dyDescent="0.25">
      <c r="AC624" s="60"/>
    </row>
    <row r="625" spans="29:29" ht="15.75" customHeight="1" x14ac:dyDescent="0.25">
      <c r="AC625" s="60"/>
    </row>
    <row r="626" spans="29:29" ht="15.75" customHeight="1" x14ac:dyDescent="0.25">
      <c r="AC626" s="60"/>
    </row>
    <row r="627" spans="29:29" ht="15.75" customHeight="1" x14ac:dyDescent="0.25">
      <c r="AC627" s="60"/>
    </row>
    <row r="628" spans="29:29" ht="15.75" customHeight="1" x14ac:dyDescent="0.25">
      <c r="AC628" s="60"/>
    </row>
    <row r="629" spans="29:29" ht="15.75" customHeight="1" x14ac:dyDescent="0.25">
      <c r="AC629" s="60"/>
    </row>
    <row r="630" spans="29:29" ht="15.75" customHeight="1" x14ac:dyDescent="0.25">
      <c r="AC630" s="60"/>
    </row>
    <row r="631" spans="29:29" ht="15.75" customHeight="1" x14ac:dyDescent="0.25">
      <c r="AC631" s="60"/>
    </row>
    <row r="632" spans="29:29" ht="15.75" customHeight="1" x14ac:dyDescent="0.25">
      <c r="AC632" s="60"/>
    </row>
    <row r="633" spans="29:29" ht="15.75" customHeight="1" x14ac:dyDescent="0.25">
      <c r="AC633" s="60"/>
    </row>
    <row r="634" spans="29:29" ht="15.75" customHeight="1" x14ac:dyDescent="0.25">
      <c r="AC634" s="60"/>
    </row>
    <row r="635" spans="29:29" ht="15.75" customHeight="1" x14ac:dyDescent="0.25">
      <c r="AC635" s="60"/>
    </row>
    <row r="636" spans="29:29" ht="15.75" customHeight="1" x14ac:dyDescent="0.25">
      <c r="AC636" s="60"/>
    </row>
    <row r="637" spans="29:29" ht="15.75" customHeight="1" x14ac:dyDescent="0.25">
      <c r="AC637" s="60"/>
    </row>
    <row r="638" spans="29:29" ht="15.75" customHeight="1" x14ac:dyDescent="0.25">
      <c r="AC638" s="60"/>
    </row>
    <row r="639" spans="29:29" ht="15.75" customHeight="1" x14ac:dyDescent="0.25">
      <c r="AC639" s="60"/>
    </row>
    <row r="640" spans="29:29" ht="15.75" customHeight="1" x14ac:dyDescent="0.25">
      <c r="AC640" s="60"/>
    </row>
    <row r="641" spans="29:29" ht="15.75" customHeight="1" x14ac:dyDescent="0.25">
      <c r="AC641" s="60"/>
    </row>
    <row r="642" spans="29:29" ht="15.75" customHeight="1" x14ac:dyDescent="0.25">
      <c r="AC642" s="60"/>
    </row>
    <row r="643" spans="29:29" ht="15.75" customHeight="1" x14ac:dyDescent="0.25">
      <c r="AC643" s="60"/>
    </row>
    <row r="644" spans="29:29" ht="15.75" customHeight="1" x14ac:dyDescent="0.25">
      <c r="AC644" s="60"/>
    </row>
    <row r="645" spans="29:29" ht="15.75" customHeight="1" x14ac:dyDescent="0.25">
      <c r="AC645" s="60"/>
    </row>
    <row r="646" spans="29:29" ht="15.75" customHeight="1" x14ac:dyDescent="0.25">
      <c r="AC646" s="60"/>
    </row>
    <row r="647" spans="29:29" ht="15.75" customHeight="1" x14ac:dyDescent="0.25">
      <c r="AC647" s="60"/>
    </row>
    <row r="648" spans="29:29" ht="15.75" customHeight="1" x14ac:dyDescent="0.25">
      <c r="AC648" s="60"/>
    </row>
    <row r="649" spans="29:29" ht="15.75" customHeight="1" x14ac:dyDescent="0.25">
      <c r="AC649" s="60"/>
    </row>
    <row r="650" spans="29:29" ht="15.75" customHeight="1" x14ac:dyDescent="0.25">
      <c r="AC650" s="60"/>
    </row>
    <row r="651" spans="29:29" ht="15.75" customHeight="1" x14ac:dyDescent="0.25">
      <c r="AC651" s="60"/>
    </row>
    <row r="652" spans="29:29" ht="15.75" customHeight="1" x14ac:dyDescent="0.25">
      <c r="AC652" s="60"/>
    </row>
    <row r="653" spans="29:29" ht="15.75" customHeight="1" x14ac:dyDescent="0.25">
      <c r="AC653" s="60"/>
    </row>
    <row r="654" spans="29:29" ht="15.75" customHeight="1" x14ac:dyDescent="0.25">
      <c r="AC654" s="60"/>
    </row>
    <row r="655" spans="29:29" ht="15.75" customHeight="1" x14ac:dyDescent="0.25">
      <c r="AC655" s="60"/>
    </row>
    <row r="656" spans="29:29" ht="15.75" customHeight="1" x14ac:dyDescent="0.25">
      <c r="AC656" s="60"/>
    </row>
    <row r="657" spans="29:29" ht="15.75" customHeight="1" x14ac:dyDescent="0.25">
      <c r="AC657" s="60"/>
    </row>
    <row r="658" spans="29:29" ht="15.75" customHeight="1" x14ac:dyDescent="0.25">
      <c r="AC658" s="60"/>
    </row>
    <row r="659" spans="29:29" ht="15.75" customHeight="1" x14ac:dyDescent="0.25">
      <c r="AC659" s="60"/>
    </row>
    <row r="660" spans="29:29" ht="15.75" customHeight="1" x14ac:dyDescent="0.25">
      <c r="AC660" s="60"/>
    </row>
    <row r="661" spans="29:29" ht="15.75" customHeight="1" x14ac:dyDescent="0.25">
      <c r="AC661" s="60"/>
    </row>
    <row r="662" spans="29:29" ht="15.75" customHeight="1" x14ac:dyDescent="0.25">
      <c r="AC662" s="60"/>
    </row>
    <row r="663" spans="29:29" ht="15.75" customHeight="1" x14ac:dyDescent="0.25">
      <c r="AC663" s="60"/>
    </row>
    <row r="664" spans="29:29" ht="15.75" customHeight="1" x14ac:dyDescent="0.25">
      <c r="AC664" s="60"/>
    </row>
    <row r="665" spans="29:29" ht="15.75" customHeight="1" x14ac:dyDescent="0.25">
      <c r="AC665" s="60"/>
    </row>
    <row r="666" spans="29:29" ht="15.75" customHeight="1" x14ac:dyDescent="0.25">
      <c r="AC666" s="60"/>
    </row>
    <row r="667" spans="29:29" ht="15.75" customHeight="1" x14ac:dyDescent="0.25">
      <c r="AC667" s="60"/>
    </row>
    <row r="668" spans="29:29" ht="15.75" customHeight="1" x14ac:dyDescent="0.25">
      <c r="AC668" s="60"/>
    </row>
    <row r="669" spans="29:29" ht="15.75" customHeight="1" x14ac:dyDescent="0.25">
      <c r="AC669" s="60"/>
    </row>
    <row r="670" spans="29:29" ht="15.75" customHeight="1" x14ac:dyDescent="0.25">
      <c r="AC670" s="60"/>
    </row>
    <row r="671" spans="29:29" ht="15.75" customHeight="1" x14ac:dyDescent="0.25">
      <c r="AC671" s="60"/>
    </row>
    <row r="672" spans="29:29" ht="15.75" customHeight="1" x14ac:dyDescent="0.25">
      <c r="AC672" s="60"/>
    </row>
    <row r="673" spans="29:29" ht="15.75" customHeight="1" x14ac:dyDescent="0.25">
      <c r="AC673" s="60"/>
    </row>
    <row r="674" spans="29:29" ht="15.75" customHeight="1" x14ac:dyDescent="0.25">
      <c r="AC674" s="60"/>
    </row>
    <row r="675" spans="29:29" ht="15.75" customHeight="1" x14ac:dyDescent="0.25">
      <c r="AC675" s="60"/>
    </row>
    <row r="676" spans="29:29" ht="15.75" customHeight="1" x14ac:dyDescent="0.25">
      <c r="AC676" s="60"/>
    </row>
    <row r="677" spans="29:29" ht="15.75" customHeight="1" x14ac:dyDescent="0.25">
      <c r="AC677" s="60"/>
    </row>
    <row r="678" spans="29:29" ht="15.75" customHeight="1" x14ac:dyDescent="0.25">
      <c r="AC678" s="60"/>
    </row>
    <row r="679" spans="29:29" ht="15.75" customHeight="1" x14ac:dyDescent="0.25">
      <c r="AC679" s="60"/>
    </row>
    <row r="680" spans="29:29" ht="15.75" customHeight="1" x14ac:dyDescent="0.25">
      <c r="AC680" s="60"/>
    </row>
    <row r="681" spans="29:29" ht="15.75" customHeight="1" x14ac:dyDescent="0.25">
      <c r="AC681" s="60"/>
    </row>
    <row r="682" spans="29:29" ht="15.75" customHeight="1" x14ac:dyDescent="0.25">
      <c r="AC682" s="60"/>
    </row>
    <row r="683" spans="29:29" ht="15.75" customHeight="1" x14ac:dyDescent="0.25">
      <c r="AC683" s="60"/>
    </row>
    <row r="684" spans="29:29" ht="15.75" customHeight="1" x14ac:dyDescent="0.25">
      <c r="AC684" s="60"/>
    </row>
    <row r="685" spans="29:29" ht="15.75" customHeight="1" x14ac:dyDescent="0.25">
      <c r="AC685" s="60"/>
    </row>
    <row r="686" spans="29:29" ht="15.75" customHeight="1" x14ac:dyDescent="0.25">
      <c r="AC686" s="60"/>
    </row>
    <row r="687" spans="29:29" ht="15.75" customHeight="1" x14ac:dyDescent="0.25">
      <c r="AC687" s="60"/>
    </row>
    <row r="688" spans="29:29" ht="15.75" customHeight="1" x14ac:dyDescent="0.25">
      <c r="AC688" s="60"/>
    </row>
    <row r="689" spans="29:29" ht="15.75" customHeight="1" x14ac:dyDescent="0.25">
      <c r="AC689" s="60"/>
    </row>
    <row r="690" spans="29:29" ht="15.75" customHeight="1" x14ac:dyDescent="0.25">
      <c r="AC690" s="60"/>
    </row>
    <row r="691" spans="29:29" ht="15.75" customHeight="1" x14ac:dyDescent="0.25">
      <c r="AC691" s="60"/>
    </row>
    <row r="692" spans="29:29" ht="15.75" customHeight="1" x14ac:dyDescent="0.25">
      <c r="AC692" s="60"/>
    </row>
    <row r="693" spans="29:29" ht="15.75" customHeight="1" x14ac:dyDescent="0.25">
      <c r="AC693" s="60"/>
    </row>
    <row r="694" spans="29:29" ht="15.75" customHeight="1" x14ac:dyDescent="0.25">
      <c r="AC694" s="60"/>
    </row>
    <row r="695" spans="29:29" ht="15.75" customHeight="1" x14ac:dyDescent="0.25">
      <c r="AC695" s="60"/>
    </row>
    <row r="696" spans="29:29" ht="15.75" customHeight="1" x14ac:dyDescent="0.25">
      <c r="AC696" s="60"/>
    </row>
    <row r="697" spans="29:29" ht="15.75" customHeight="1" x14ac:dyDescent="0.25">
      <c r="AC697" s="60"/>
    </row>
    <row r="698" spans="29:29" ht="15.75" customHeight="1" x14ac:dyDescent="0.25">
      <c r="AC698" s="60"/>
    </row>
    <row r="699" spans="29:29" ht="15.75" customHeight="1" x14ac:dyDescent="0.25">
      <c r="AC699" s="60"/>
    </row>
    <row r="700" spans="29:29" ht="15.75" customHeight="1" x14ac:dyDescent="0.25">
      <c r="AC700" s="60"/>
    </row>
    <row r="701" spans="29:29" ht="15.75" customHeight="1" x14ac:dyDescent="0.25">
      <c r="AC701" s="60"/>
    </row>
    <row r="702" spans="29:29" ht="15.75" customHeight="1" x14ac:dyDescent="0.25">
      <c r="AC702" s="60"/>
    </row>
    <row r="703" spans="29:29" ht="15.75" customHeight="1" x14ac:dyDescent="0.25">
      <c r="AC703" s="60"/>
    </row>
    <row r="704" spans="29:29" ht="15.75" customHeight="1" x14ac:dyDescent="0.25">
      <c r="AC704" s="60"/>
    </row>
    <row r="705" spans="29:29" ht="15.75" customHeight="1" x14ac:dyDescent="0.25">
      <c r="AC705" s="60"/>
    </row>
    <row r="706" spans="29:29" ht="15.75" customHeight="1" x14ac:dyDescent="0.25">
      <c r="AC706" s="60"/>
    </row>
    <row r="707" spans="29:29" ht="15.75" customHeight="1" x14ac:dyDescent="0.25">
      <c r="AC707" s="60"/>
    </row>
    <row r="708" spans="29:29" ht="15.75" customHeight="1" x14ac:dyDescent="0.25">
      <c r="AC708" s="60"/>
    </row>
    <row r="709" spans="29:29" ht="15.75" customHeight="1" x14ac:dyDescent="0.25">
      <c r="AC709" s="60"/>
    </row>
    <row r="710" spans="29:29" ht="15.75" customHeight="1" x14ac:dyDescent="0.25">
      <c r="AC710" s="60"/>
    </row>
    <row r="711" spans="29:29" ht="15.75" customHeight="1" x14ac:dyDescent="0.25">
      <c r="AC711" s="60"/>
    </row>
    <row r="712" spans="29:29" ht="15.75" customHeight="1" x14ac:dyDescent="0.25">
      <c r="AC712" s="60"/>
    </row>
    <row r="713" spans="29:29" ht="15.75" customHeight="1" x14ac:dyDescent="0.25">
      <c r="AC713" s="60"/>
    </row>
    <row r="714" spans="29:29" ht="15.75" customHeight="1" x14ac:dyDescent="0.25">
      <c r="AC714" s="60"/>
    </row>
    <row r="715" spans="29:29" ht="15.75" customHeight="1" x14ac:dyDescent="0.25">
      <c r="AC715" s="60"/>
    </row>
    <row r="716" spans="29:29" ht="15.75" customHeight="1" x14ac:dyDescent="0.25">
      <c r="AC716" s="60"/>
    </row>
    <row r="717" spans="29:29" ht="15.75" customHeight="1" x14ac:dyDescent="0.25">
      <c r="AC717" s="60"/>
    </row>
    <row r="718" spans="29:29" ht="15.75" customHeight="1" x14ac:dyDescent="0.25">
      <c r="AC718" s="60"/>
    </row>
    <row r="719" spans="29:29" ht="15.75" customHeight="1" x14ac:dyDescent="0.25">
      <c r="AC719" s="60"/>
    </row>
    <row r="720" spans="29:29" ht="15.75" customHeight="1" x14ac:dyDescent="0.25">
      <c r="AC720" s="60"/>
    </row>
    <row r="721" spans="29:29" ht="15.75" customHeight="1" x14ac:dyDescent="0.25">
      <c r="AC721" s="60"/>
    </row>
    <row r="722" spans="29:29" ht="15.75" customHeight="1" x14ac:dyDescent="0.25">
      <c r="AC722" s="60"/>
    </row>
    <row r="723" spans="29:29" ht="15.75" customHeight="1" x14ac:dyDescent="0.25">
      <c r="AC723" s="60"/>
    </row>
    <row r="724" spans="29:29" ht="15.75" customHeight="1" x14ac:dyDescent="0.25">
      <c r="AC724" s="60"/>
    </row>
    <row r="725" spans="29:29" ht="15.75" customHeight="1" x14ac:dyDescent="0.25">
      <c r="AC725" s="60"/>
    </row>
    <row r="726" spans="29:29" ht="15.75" customHeight="1" x14ac:dyDescent="0.25">
      <c r="AC726" s="60"/>
    </row>
    <row r="727" spans="29:29" ht="15.75" customHeight="1" x14ac:dyDescent="0.25">
      <c r="AC727" s="60"/>
    </row>
    <row r="728" spans="29:29" ht="15.75" customHeight="1" x14ac:dyDescent="0.25">
      <c r="AC728" s="60"/>
    </row>
    <row r="729" spans="29:29" ht="15.75" customHeight="1" x14ac:dyDescent="0.25">
      <c r="AC729" s="60"/>
    </row>
    <row r="730" spans="29:29" ht="15.75" customHeight="1" x14ac:dyDescent="0.25">
      <c r="AC730" s="60"/>
    </row>
    <row r="731" spans="29:29" ht="15.75" customHeight="1" x14ac:dyDescent="0.25">
      <c r="AC731" s="60"/>
    </row>
    <row r="732" spans="29:29" ht="15.75" customHeight="1" x14ac:dyDescent="0.25">
      <c r="AC732" s="60"/>
    </row>
    <row r="733" spans="29:29" ht="15.75" customHeight="1" x14ac:dyDescent="0.25">
      <c r="AC733" s="60"/>
    </row>
    <row r="734" spans="29:29" ht="15.75" customHeight="1" x14ac:dyDescent="0.25">
      <c r="AC734" s="60"/>
    </row>
    <row r="735" spans="29:29" ht="15.75" customHeight="1" x14ac:dyDescent="0.25">
      <c r="AC735" s="60"/>
    </row>
    <row r="736" spans="29:29" ht="15.75" customHeight="1" x14ac:dyDescent="0.25">
      <c r="AC736" s="60"/>
    </row>
    <row r="737" spans="29:29" ht="15.75" customHeight="1" x14ac:dyDescent="0.25">
      <c r="AC737" s="60"/>
    </row>
    <row r="738" spans="29:29" ht="15.75" customHeight="1" x14ac:dyDescent="0.25">
      <c r="AC738" s="60"/>
    </row>
    <row r="739" spans="29:29" ht="15.75" customHeight="1" x14ac:dyDescent="0.25">
      <c r="AC739" s="60"/>
    </row>
    <row r="740" spans="29:29" ht="15.75" customHeight="1" x14ac:dyDescent="0.25">
      <c r="AC740" s="60"/>
    </row>
    <row r="741" spans="29:29" ht="15.75" customHeight="1" x14ac:dyDescent="0.25">
      <c r="AC741" s="60"/>
    </row>
    <row r="742" spans="29:29" ht="15.75" customHeight="1" x14ac:dyDescent="0.25">
      <c r="AC742" s="60"/>
    </row>
    <row r="743" spans="29:29" ht="15.75" customHeight="1" x14ac:dyDescent="0.25">
      <c r="AC743" s="60"/>
    </row>
    <row r="744" spans="29:29" ht="15.75" customHeight="1" x14ac:dyDescent="0.25">
      <c r="AC744" s="60"/>
    </row>
    <row r="745" spans="29:29" ht="15.75" customHeight="1" x14ac:dyDescent="0.25">
      <c r="AC745" s="60"/>
    </row>
    <row r="746" spans="29:29" ht="15.75" customHeight="1" x14ac:dyDescent="0.25">
      <c r="AC746" s="60"/>
    </row>
    <row r="747" spans="29:29" ht="15.75" customHeight="1" x14ac:dyDescent="0.25">
      <c r="AC747" s="60"/>
    </row>
    <row r="748" spans="29:29" ht="15.75" customHeight="1" x14ac:dyDescent="0.25">
      <c r="AC748" s="60"/>
    </row>
    <row r="749" spans="29:29" ht="15.75" customHeight="1" x14ac:dyDescent="0.25">
      <c r="AC749" s="60"/>
    </row>
    <row r="750" spans="29:29" ht="15.75" customHeight="1" x14ac:dyDescent="0.25">
      <c r="AC750" s="60"/>
    </row>
    <row r="751" spans="29:29" ht="15.75" customHeight="1" x14ac:dyDescent="0.25">
      <c r="AC751" s="60"/>
    </row>
    <row r="752" spans="29:29" ht="15.75" customHeight="1" x14ac:dyDescent="0.25">
      <c r="AC752" s="60"/>
    </row>
    <row r="753" spans="29:29" ht="15.75" customHeight="1" x14ac:dyDescent="0.25">
      <c r="AC753" s="60"/>
    </row>
    <row r="754" spans="29:29" ht="15.75" customHeight="1" x14ac:dyDescent="0.25">
      <c r="AC754" s="60"/>
    </row>
    <row r="755" spans="29:29" ht="15.75" customHeight="1" x14ac:dyDescent="0.25">
      <c r="AC755" s="60"/>
    </row>
    <row r="756" spans="29:29" ht="15.75" customHeight="1" x14ac:dyDescent="0.25">
      <c r="AC756" s="60"/>
    </row>
    <row r="757" spans="29:29" ht="15.75" customHeight="1" x14ac:dyDescent="0.25">
      <c r="AC757" s="60"/>
    </row>
    <row r="758" spans="29:29" ht="15.75" customHeight="1" x14ac:dyDescent="0.25">
      <c r="AC758" s="60"/>
    </row>
    <row r="759" spans="29:29" ht="15.75" customHeight="1" x14ac:dyDescent="0.25">
      <c r="AC759" s="60"/>
    </row>
    <row r="760" spans="29:29" ht="15.75" customHeight="1" x14ac:dyDescent="0.25">
      <c r="AC760" s="60"/>
    </row>
    <row r="761" spans="29:29" ht="15.75" customHeight="1" x14ac:dyDescent="0.25">
      <c r="AC761" s="60"/>
    </row>
    <row r="762" spans="29:29" ht="15.75" customHeight="1" x14ac:dyDescent="0.25">
      <c r="AC762" s="60"/>
    </row>
    <row r="763" spans="29:29" ht="15.75" customHeight="1" x14ac:dyDescent="0.25">
      <c r="AC763" s="60"/>
    </row>
    <row r="764" spans="29:29" ht="15.75" customHeight="1" x14ac:dyDescent="0.25">
      <c r="AC764" s="60"/>
    </row>
    <row r="765" spans="29:29" ht="15.75" customHeight="1" x14ac:dyDescent="0.25">
      <c r="AC765" s="60"/>
    </row>
    <row r="766" spans="29:29" ht="15.75" customHeight="1" x14ac:dyDescent="0.25">
      <c r="AC766" s="60"/>
    </row>
    <row r="767" spans="29:29" ht="15.75" customHeight="1" x14ac:dyDescent="0.25">
      <c r="AC767" s="60"/>
    </row>
    <row r="768" spans="29:29" ht="15.75" customHeight="1" x14ac:dyDescent="0.25">
      <c r="AC768" s="60"/>
    </row>
    <row r="769" spans="29:29" ht="15.75" customHeight="1" x14ac:dyDescent="0.25">
      <c r="AC769" s="60"/>
    </row>
    <row r="770" spans="29:29" ht="15.75" customHeight="1" x14ac:dyDescent="0.25">
      <c r="AC770" s="60"/>
    </row>
    <row r="771" spans="29:29" ht="15.75" customHeight="1" x14ac:dyDescent="0.25">
      <c r="AC771" s="60"/>
    </row>
    <row r="772" spans="29:29" ht="15.75" customHeight="1" x14ac:dyDescent="0.25">
      <c r="AC772" s="60"/>
    </row>
    <row r="773" spans="29:29" ht="15.75" customHeight="1" x14ac:dyDescent="0.25">
      <c r="AC773" s="60"/>
    </row>
    <row r="774" spans="29:29" ht="15.75" customHeight="1" x14ac:dyDescent="0.25">
      <c r="AC774" s="60"/>
    </row>
    <row r="775" spans="29:29" ht="15.75" customHeight="1" x14ac:dyDescent="0.25">
      <c r="AC775" s="60"/>
    </row>
    <row r="776" spans="29:29" ht="15.75" customHeight="1" x14ac:dyDescent="0.25">
      <c r="AC776" s="60"/>
    </row>
    <row r="777" spans="29:29" ht="15.75" customHeight="1" x14ac:dyDescent="0.25">
      <c r="AC777" s="60"/>
    </row>
    <row r="778" spans="29:29" ht="15.75" customHeight="1" x14ac:dyDescent="0.25">
      <c r="AC778" s="60"/>
    </row>
    <row r="779" spans="29:29" ht="15.75" customHeight="1" x14ac:dyDescent="0.25">
      <c r="AC779" s="60"/>
    </row>
    <row r="780" spans="29:29" ht="15.75" customHeight="1" x14ac:dyDescent="0.25">
      <c r="AC780" s="60"/>
    </row>
    <row r="781" spans="29:29" ht="15.75" customHeight="1" x14ac:dyDescent="0.25">
      <c r="AC781" s="60"/>
    </row>
    <row r="782" spans="29:29" ht="15.75" customHeight="1" x14ac:dyDescent="0.25">
      <c r="AC782" s="60"/>
    </row>
    <row r="783" spans="29:29" ht="15.75" customHeight="1" x14ac:dyDescent="0.25">
      <c r="AC783" s="60"/>
    </row>
    <row r="784" spans="29:29" ht="15.75" customHeight="1" x14ac:dyDescent="0.25">
      <c r="AC784" s="60"/>
    </row>
    <row r="785" spans="29:29" ht="15.75" customHeight="1" x14ac:dyDescent="0.25">
      <c r="AC785" s="60"/>
    </row>
    <row r="786" spans="29:29" ht="15.75" customHeight="1" x14ac:dyDescent="0.25">
      <c r="AC786" s="60"/>
    </row>
    <row r="787" spans="29:29" ht="15.75" customHeight="1" x14ac:dyDescent="0.25">
      <c r="AC787" s="60"/>
    </row>
    <row r="788" spans="29:29" ht="15.75" customHeight="1" x14ac:dyDescent="0.25">
      <c r="AC788" s="60"/>
    </row>
    <row r="789" spans="29:29" ht="15.75" customHeight="1" x14ac:dyDescent="0.25">
      <c r="AC789" s="60"/>
    </row>
    <row r="790" spans="29:29" ht="15.75" customHeight="1" x14ac:dyDescent="0.25">
      <c r="AC790" s="60"/>
    </row>
    <row r="791" spans="29:29" ht="15.75" customHeight="1" x14ac:dyDescent="0.25">
      <c r="AC791" s="60"/>
    </row>
    <row r="792" spans="29:29" ht="15.75" customHeight="1" x14ac:dyDescent="0.25">
      <c r="AC792" s="60"/>
    </row>
    <row r="793" spans="29:29" ht="15.75" customHeight="1" x14ac:dyDescent="0.25">
      <c r="AC793" s="60"/>
    </row>
    <row r="794" spans="29:29" ht="15.75" customHeight="1" x14ac:dyDescent="0.25">
      <c r="AC794" s="60"/>
    </row>
    <row r="795" spans="29:29" ht="15.75" customHeight="1" x14ac:dyDescent="0.25">
      <c r="AC795" s="60"/>
    </row>
    <row r="796" spans="29:29" ht="15.75" customHeight="1" x14ac:dyDescent="0.25">
      <c r="AC796" s="60"/>
    </row>
    <row r="797" spans="29:29" ht="15.75" customHeight="1" x14ac:dyDescent="0.25">
      <c r="AC797" s="60"/>
    </row>
    <row r="798" spans="29:29" ht="15.75" customHeight="1" x14ac:dyDescent="0.25">
      <c r="AC798" s="60"/>
    </row>
    <row r="799" spans="29:29" ht="15.75" customHeight="1" x14ac:dyDescent="0.25">
      <c r="AC799" s="60"/>
    </row>
    <row r="800" spans="29:29" ht="15.75" customHeight="1" x14ac:dyDescent="0.25">
      <c r="AC800" s="60"/>
    </row>
    <row r="801" spans="29:29" ht="15.75" customHeight="1" x14ac:dyDescent="0.25">
      <c r="AC801" s="60"/>
    </row>
    <row r="802" spans="29:29" ht="15.75" customHeight="1" x14ac:dyDescent="0.25">
      <c r="AC802" s="60"/>
    </row>
    <row r="803" spans="29:29" ht="15.75" customHeight="1" x14ac:dyDescent="0.25">
      <c r="AC803" s="60"/>
    </row>
    <row r="804" spans="29:29" ht="15.75" customHeight="1" x14ac:dyDescent="0.25">
      <c r="AC804" s="60"/>
    </row>
    <row r="805" spans="29:29" ht="15.75" customHeight="1" x14ac:dyDescent="0.25">
      <c r="AC805" s="60"/>
    </row>
    <row r="806" spans="29:29" ht="15.75" customHeight="1" x14ac:dyDescent="0.25">
      <c r="AC806" s="60"/>
    </row>
    <row r="807" spans="29:29" ht="15.75" customHeight="1" x14ac:dyDescent="0.25">
      <c r="AC807" s="60"/>
    </row>
    <row r="808" spans="29:29" ht="15.75" customHeight="1" x14ac:dyDescent="0.25">
      <c r="AC808" s="60"/>
    </row>
    <row r="809" spans="29:29" ht="15.75" customHeight="1" x14ac:dyDescent="0.25">
      <c r="AC809" s="60"/>
    </row>
    <row r="810" spans="29:29" ht="15.75" customHeight="1" x14ac:dyDescent="0.25">
      <c r="AC810" s="60"/>
    </row>
    <row r="811" spans="29:29" ht="15.75" customHeight="1" x14ac:dyDescent="0.25">
      <c r="AC811" s="60"/>
    </row>
    <row r="812" spans="29:29" ht="15.75" customHeight="1" x14ac:dyDescent="0.25">
      <c r="AC812" s="60"/>
    </row>
    <row r="813" spans="29:29" ht="15.75" customHeight="1" x14ac:dyDescent="0.25">
      <c r="AC813" s="60"/>
    </row>
    <row r="814" spans="29:29" ht="15.75" customHeight="1" x14ac:dyDescent="0.25">
      <c r="AC814" s="60"/>
    </row>
    <row r="815" spans="29:29" ht="15.75" customHeight="1" x14ac:dyDescent="0.25">
      <c r="AC815" s="60"/>
    </row>
    <row r="816" spans="29:29" ht="15.75" customHeight="1" x14ac:dyDescent="0.25">
      <c r="AC816" s="60"/>
    </row>
    <row r="817" spans="29:29" ht="15.75" customHeight="1" x14ac:dyDescent="0.25">
      <c r="AC817" s="60"/>
    </row>
    <row r="818" spans="29:29" ht="15.75" customHeight="1" x14ac:dyDescent="0.25">
      <c r="AC818" s="60"/>
    </row>
    <row r="819" spans="29:29" ht="15.75" customHeight="1" x14ac:dyDescent="0.25">
      <c r="AC819" s="60"/>
    </row>
    <row r="820" spans="29:29" ht="15.75" customHeight="1" x14ac:dyDescent="0.25">
      <c r="AC820" s="60"/>
    </row>
    <row r="821" spans="29:29" ht="15.75" customHeight="1" x14ac:dyDescent="0.25">
      <c r="AC821" s="60"/>
    </row>
    <row r="822" spans="29:29" ht="15.75" customHeight="1" x14ac:dyDescent="0.25">
      <c r="AC822" s="60"/>
    </row>
    <row r="823" spans="29:29" ht="15.75" customHeight="1" x14ac:dyDescent="0.25">
      <c r="AC823" s="60"/>
    </row>
    <row r="824" spans="29:29" ht="15.75" customHeight="1" x14ac:dyDescent="0.25">
      <c r="AC824" s="60"/>
    </row>
    <row r="825" spans="29:29" ht="15.75" customHeight="1" x14ac:dyDescent="0.25">
      <c r="AC825" s="60"/>
    </row>
    <row r="826" spans="29:29" ht="15.75" customHeight="1" x14ac:dyDescent="0.25">
      <c r="AC826" s="60"/>
    </row>
    <row r="827" spans="29:29" ht="15.75" customHeight="1" x14ac:dyDescent="0.25">
      <c r="AC827" s="60"/>
    </row>
    <row r="828" spans="29:29" ht="15.75" customHeight="1" x14ac:dyDescent="0.25">
      <c r="AC828" s="60"/>
    </row>
    <row r="829" spans="29:29" ht="15.75" customHeight="1" x14ac:dyDescent="0.25">
      <c r="AC829" s="60"/>
    </row>
    <row r="830" spans="29:29" ht="15.75" customHeight="1" x14ac:dyDescent="0.25">
      <c r="AC830" s="60"/>
    </row>
    <row r="831" spans="29:29" ht="15.75" customHeight="1" x14ac:dyDescent="0.25">
      <c r="AC831" s="60"/>
    </row>
    <row r="832" spans="29:29" ht="15.75" customHeight="1" x14ac:dyDescent="0.25">
      <c r="AC832" s="60"/>
    </row>
    <row r="833" spans="29:29" ht="15.75" customHeight="1" x14ac:dyDescent="0.25">
      <c r="AC833" s="60"/>
    </row>
    <row r="834" spans="29:29" ht="15.75" customHeight="1" x14ac:dyDescent="0.25">
      <c r="AC834" s="60"/>
    </row>
    <row r="835" spans="29:29" ht="15.75" customHeight="1" x14ac:dyDescent="0.25">
      <c r="AC835" s="60"/>
    </row>
    <row r="836" spans="29:29" ht="15.75" customHeight="1" x14ac:dyDescent="0.25">
      <c r="AC836" s="60"/>
    </row>
    <row r="837" spans="29:29" ht="15.75" customHeight="1" x14ac:dyDescent="0.25">
      <c r="AC837" s="60"/>
    </row>
    <row r="838" spans="29:29" ht="15.75" customHeight="1" x14ac:dyDescent="0.25">
      <c r="AC838" s="60"/>
    </row>
    <row r="839" spans="29:29" ht="15.75" customHeight="1" x14ac:dyDescent="0.25">
      <c r="AC839" s="60"/>
    </row>
    <row r="840" spans="29:29" ht="15.75" customHeight="1" x14ac:dyDescent="0.25">
      <c r="AC840" s="60"/>
    </row>
    <row r="841" spans="29:29" ht="15.75" customHeight="1" x14ac:dyDescent="0.25">
      <c r="AC841" s="60"/>
    </row>
    <row r="842" spans="29:29" ht="15.75" customHeight="1" x14ac:dyDescent="0.25">
      <c r="AC842" s="60"/>
    </row>
    <row r="843" spans="29:29" ht="15.75" customHeight="1" x14ac:dyDescent="0.25">
      <c r="AC843" s="60"/>
    </row>
    <row r="844" spans="29:29" ht="15.75" customHeight="1" x14ac:dyDescent="0.25">
      <c r="AC844" s="60"/>
    </row>
    <row r="845" spans="29:29" ht="15.75" customHeight="1" x14ac:dyDescent="0.25">
      <c r="AC845" s="60"/>
    </row>
    <row r="846" spans="29:29" ht="15.75" customHeight="1" x14ac:dyDescent="0.25">
      <c r="AC846" s="60"/>
    </row>
    <row r="847" spans="29:29" ht="15.75" customHeight="1" x14ac:dyDescent="0.25">
      <c r="AC847" s="60"/>
    </row>
    <row r="848" spans="29:29" ht="15.75" customHeight="1" x14ac:dyDescent="0.25">
      <c r="AC848" s="60"/>
    </row>
    <row r="849" spans="29:29" ht="15.75" customHeight="1" x14ac:dyDescent="0.25">
      <c r="AC849" s="60"/>
    </row>
    <row r="850" spans="29:29" ht="15.75" customHeight="1" x14ac:dyDescent="0.25">
      <c r="AC850" s="60"/>
    </row>
    <row r="851" spans="29:29" ht="15.75" customHeight="1" x14ac:dyDescent="0.25">
      <c r="AC851" s="60"/>
    </row>
    <row r="852" spans="29:29" ht="15.75" customHeight="1" x14ac:dyDescent="0.25">
      <c r="AC852" s="60"/>
    </row>
    <row r="853" spans="29:29" ht="15.75" customHeight="1" x14ac:dyDescent="0.25">
      <c r="AC853" s="60"/>
    </row>
    <row r="854" spans="29:29" ht="15.75" customHeight="1" x14ac:dyDescent="0.25">
      <c r="AC854" s="60"/>
    </row>
    <row r="855" spans="29:29" ht="15.75" customHeight="1" x14ac:dyDescent="0.25">
      <c r="AC855" s="60"/>
    </row>
    <row r="856" spans="29:29" ht="15.75" customHeight="1" x14ac:dyDescent="0.25">
      <c r="AC856" s="60"/>
    </row>
    <row r="857" spans="29:29" ht="15.75" customHeight="1" x14ac:dyDescent="0.25">
      <c r="AC857" s="60"/>
    </row>
    <row r="858" spans="29:29" ht="15.75" customHeight="1" x14ac:dyDescent="0.25">
      <c r="AC858" s="60"/>
    </row>
    <row r="859" spans="29:29" ht="15.75" customHeight="1" x14ac:dyDescent="0.25">
      <c r="AC859" s="60"/>
    </row>
    <row r="860" spans="29:29" ht="15.75" customHeight="1" x14ac:dyDescent="0.25">
      <c r="AC860" s="60"/>
    </row>
    <row r="861" spans="29:29" ht="15.75" customHeight="1" x14ac:dyDescent="0.25">
      <c r="AC861" s="60"/>
    </row>
    <row r="862" spans="29:29" ht="15.75" customHeight="1" x14ac:dyDescent="0.25">
      <c r="AC862" s="60"/>
    </row>
    <row r="863" spans="29:29" ht="15.75" customHeight="1" x14ac:dyDescent="0.25">
      <c r="AC863" s="60"/>
    </row>
    <row r="864" spans="29:29" ht="15.75" customHeight="1" x14ac:dyDescent="0.25">
      <c r="AC864" s="60"/>
    </row>
    <row r="865" spans="29:29" ht="15.75" customHeight="1" x14ac:dyDescent="0.25">
      <c r="AC865" s="60"/>
    </row>
    <row r="866" spans="29:29" ht="15.75" customHeight="1" x14ac:dyDescent="0.25">
      <c r="AC866" s="60"/>
    </row>
    <row r="867" spans="29:29" ht="15.75" customHeight="1" x14ac:dyDescent="0.25">
      <c r="AC867" s="60"/>
    </row>
    <row r="868" spans="29:29" ht="15.75" customHeight="1" x14ac:dyDescent="0.25">
      <c r="AC868" s="60"/>
    </row>
    <row r="869" spans="29:29" ht="15.75" customHeight="1" x14ac:dyDescent="0.25">
      <c r="AC869" s="60"/>
    </row>
    <row r="870" spans="29:29" ht="15.75" customHeight="1" x14ac:dyDescent="0.25">
      <c r="AC870" s="60"/>
    </row>
    <row r="871" spans="29:29" ht="15.75" customHeight="1" x14ac:dyDescent="0.25">
      <c r="AC871" s="60"/>
    </row>
    <row r="872" spans="29:29" ht="15.75" customHeight="1" x14ac:dyDescent="0.25">
      <c r="AC872" s="60"/>
    </row>
    <row r="873" spans="29:29" ht="15.75" customHeight="1" x14ac:dyDescent="0.25">
      <c r="AC873" s="60"/>
    </row>
    <row r="874" spans="29:29" ht="15.75" customHeight="1" x14ac:dyDescent="0.25">
      <c r="AC874" s="60"/>
    </row>
    <row r="875" spans="29:29" ht="15.75" customHeight="1" x14ac:dyDescent="0.25">
      <c r="AC875" s="60"/>
    </row>
    <row r="876" spans="29:29" ht="15.75" customHeight="1" x14ac:dyDescent="0.25">
      <c r="AC876" s="60"/>
    </row>
    <row r="877" spans="29:29" ht="15.75" customHeight="1" x14ac:dyDescent="0.25">
      <c r="AC877" s="60"/>
    </row>
    <row r="878" spans="29:29" ht="15.75" customHeight="1" x14ac:dyDescent="0.25">
      <c r="AC878" s="60"/>
    </row>
    <row r="879" spans="29:29" ht="15.75" customHeight="1" x14ac:dyDescent="0.25">
      <c r="AC879" s="60"/>
    </row>
    <row r="880" spans="29:29" ht="15.75" customHeight="1" x14ac:dyDescent="0.25">
      <c r="AC880" s="60"/>
    </row>
    <row r="881" spans="29:29" ht="15.75" customHeight="1" x14ac:dyDescent="0.25">
      <c r="AC881" s="60"/>
    </row>
    <row r="882" spans="29:29" ht="15.75" customHeight="1" x14ac:dyDescent="0.25">
      <c r="AC882" s="60"/>
    </row>
    <row r="883" spans="29:29" ht="15.75" customHeight="1" x14ac:dyDescent="0.25">
      <c r="AC883" s="60"/>
    </row>
    <row r="884" spans="29:29" ht="15.75" customHeight="1" x14ac:dyDescent="0.25">
      <c r="AC884" s="60"/>
    </row>
    <row r="885" spans="29:29" ht="15.75" customHeight="1" x14ac:dyDescent="0.25">
      <c r="AC885" s="60"/>
    </row>
    <row r="886" spans="29:29" ht="15.75" customHeight="1" x14ac:dyDescent="0.25">
      <c r="AC886" s="60"/>
    </row>
    <row r="887" spans="29:29" ht="15.75" customHeight="1" x14ac:dyDescent="0.25">
      <c r="AC887" s="60"/>
    </row>
    <row r="888" spans="29:29" ht="15.75" customHeight="1" x14ac:dyDescent="0.25">
      <c r="AC888" s="60"/>
    </row>
    <row r="889" spans="29:29" ht="15.75" customHeight="1" x14ac:dyDescent="0.25">
      <c r="AC889" s="60"/>
    </row>
    <row r="890" spans="29:29" ht="15.75" customHeight="1" x14ac:dyDescent="0.25">
      <c r="AC890" s="60"/>
    </row>
    <row r="891" spans="29:29" ht="15.75" customHeight="1" x14ac:dyDescent="0.25">
      <c r="AC891" s="60"/>
    </row>
    <row r="892" spans="29:29" ht="15.75" customHeight="1" x14ac:dyDescent="0.25">
      <c r="AC892" s="60"/>
    </row>
    <row r="893" spans="29:29" ht="15.75" customHeight="1" x14ac:dyDescent="0.25">
      <c r="AC893" s="60"/>
    </row>
    <row r="894" spans="29:29" ht="15.75" customHeight="1" x14ac:dyDescent="0.25">
      <c r="AC894" s="60"/>
    </row>
    <row r="895" spans="29:29" ht="15.75" customHeight="1" x14ac:dyDescent="0.25">
      <c r="AC895" s="60"/>
    </row>
    <row r="896" spans="29:29" ht="15.75" customHeight="1" x14ac:dyDescent="0.25">
      <c r="AC896" s="60"/>
    </row>
    <row r="897" spans="29:29" ht="15.75" customHeight="1" x14ac:dyDescent="0.25">
      <c r="AC897" s="60"/>
    </row>
    <row r="898" spans="29:29" ht="15.75" customHeight="1" x14ac:dyDescent="0.25">
      <c r="AC898" s="60"/>
    </row>
    <row r="899" spans="29:29" ht="15.75" customHeight="1" x14ac:dyDescent="0.25">
      <c r="AC899" s="60"/>
    </row>
    <row r="900" spans="29:29" ht="15.75" customHeight="1" x14ac:dyDescent="0.25">
      <c r="AC900" s="60"/>
    </row>
    <row r="901" spans="29:29" ht="15.75" customHeight="1" x14ac:dyDescent="0.25">
      <c r="AC901" s="60"/>
    </row>
    <row r="902" spans="29:29" ht="15.75" customHeight="1" x14ac:dyDescent="0.25">
      <c r="AC902" s="60"/>
    </row>
    <row r="903" spans="29:29" ht="15.75" customHeight="1" x14ac:dyDescent="0.25">
      <c r="AC903" s="60"/>
    </row>
    <row r="904" spans="29:29" ht="15.75" customHeight="1" x14ac:dyDescent="0.25">
      <c r="AC904" s="60"/>
    </row>
    <row r="905" spans="29:29" ht="15.75" customHeight="1" x14ac:dyDescent="0.25">
      <c r="AC905" s="60"/>
    </row>
    <row r="906" spans="29:29" ht="15.75" customHeight="1" x14ac:dyDescent="0.25">
      <c r="AC906" s="60"/>
    </row>
    <row r="907" spans="29:29" ht="15.75" customHeight="1" x14ac:dyDescent="0.25">
      <c r="AC907" s="60"/>
    </row>
    <row r="908" spans="29:29" ht="15.75" customHeight="1" x14ac:dyDescent="0.25">
      <c r="AC908" s="60"/>
    </row>
    <row r="909" spans="29:29" ht="15.75" customHeight="1" x14ac:dyDescent="0.25">
      <c r="AC909" s="60"/>
    </row>
    <row r="910" spans="29:29" ht="15.75" customHeight="1" x14ac:dyDescent="0.25">
      <c r="AC910" s="60"/>
    </row>
    <row r="911" spans="29:29" ht="15.75" customHeight="1" x14ac:dyDescent="0.25">
      <c r="AC911" s="60"/>
    </row>
    <row r="912" spans="29:29" ht="15.75" customHeight="1" x14ac:dyDescent="0.25">
      <c r="AC912" s="60"/>
    </row>
    <row r="913" spans="29:29" ht="15.75" customHeight="1" x14ac:dyDescent="0.25">
      <c r="AC913" s="60"/>
    </row>
    <row r="914" spans="29:29" ht="15.75" customHeight="1" x14ac:dyDescent="0.25">
      <c r="AC914" s="60"/>
    </row>
    <row r="915" spans="29:29" ht="15.75" customHeight="1" x14ac:dyDescent="0.25">
      <c r="AC915" s="60"/>
    </row>
    <row r="916" spans="29:29" ht="15.75" customHeight="1" x14ac:dyDescent="0.25">
      <c r="AC916" s="60"/>
    </row>
    <row r="917" spans="29:29" ht="15.75" customHeight="1" x14ac:dyDescent="0.25">
      <c r="AC917" s="60"/>
    </row>
    <row r="918" spans="29:29" ht="15.75" customHeight="1" x14ac:dyDescent="0.25">
      <c r="AC918" s="60"/>
    </row>
    <row r="919" spans="29:29" ht="15.75" customHeight="1" x14ac:dyDescent="0.25">
      <c r="AC919" s="60"/>
    </row>
    <row r="920" spans="29:29" ht="15.75" customHeight="1" x14ac:dyDescent="0.25">
      <c r="AC920" s="60"/>
    </row>
    <row r="921" spans="29:29" ht="15.75" customHeight="1" x14ac:dyDescent="0.25">
      <c r="AC921" s="60"/>
    </row>
    <row r="922" spans="29:29" ht="15.75" customHeight="1" x14ac:dyDescent="0.25">
      <c r="AC922" s="60"/>
    </row>
    <row r="923" spans="29:29" ht="15.75" customHeight="1" x14ac:dyDescent="0.25">
      <c r="AC923" s="60"/>
    </row>
    <row r="924" spans="29:29" ht="15.75" customHeight="1" x14ac:dyDescent="0.25">
      <c r="AC924" s="60"/>
    </row>
    <row r="925" spans="29:29" ht="15.75" customHeight="1" x14ac:dyDescent="0.25">
      <c r="AC925" s="60"/>
    </row>
    <row r="926" spans="29:29" ht="15.75" customHeight="1" x14ac:dyDescent="0.25">
      <c r="AC926" s="60"/>
    </row>
    <row r="927" spans="29:29" ht="15.75" customHeight="1" x14ac:dyDescent="0.25">
      <c r="AC927" s="60"/>
    </row>
    <row r="928" spans="29:29" ht="15.75" customHeight="1" x14ac:dyDescent="0.25">
      <c r="AC928" s="60"/>
    </row>
    <row r="929" spans="29:29" ht="15.75" customHeight="1" x14ac:dyDescent="0.25">
      <c r="AC929" s="60"/>
    </row>
    <row r="930" spans="29:29" ht="15.75" customHeight="1" x14ac:dyDescent="0.25">
      <c r="AC930" s="60"/>
    </row>
    <row r="931" spans="29:29" ht="15.75" customHeight="1" x14ac:dyDescent="0.25">
      <c r="AC931" s="60"/>
    </row>
    <row r="932" spans="29:29" ht="15.75" customHeight="1" x14ac:dyDescent="0.25">
      <c r="AC932" s="60"/>
    </row>
    <row r="933" spans="29:29" ht="15.75" customHeight="1" x14ac:dyDescent="0.25">
      <c r="AC933" s="60"/>
    </row>
    <row r="934" spans="29:29" ht="15.75" customHeight="1" x14ac:dyDescent="0.25">
      <c r="AC934" s="60"/>
    </row>
    <row r="935" spans="29:29" ht="15.75" customHeight="1" x14ac:dyDescent="0.25">
      <c r="AC935" s="60"/>
    </row>
    <row r="936" spans="29:29" ht="15.75" customHeight="1" x14ac:dyDescent="0.25">
      <c r="AC936" s="60"/>
    </row>
    <row r="937" spans="29:29" ht="15.75" customHeight="1" x14ac:dyDescent="0.25">
      <c r="AC937" s="60"/>
    </row>
    <row r="938" spans="29:29" ht="15.75" customHeight="1" x14ac:dyDescent="0.25">
      <c r="AC938" s="60"/>
    </row>
    <row r="939" spans="29:29" ht="15.75" customHeight="1" x14ac:dyDescent="0.25">
      <c r="AC939" s="60"/>
    </row>
    <row r="940" spans="29:29" ht="15.75" customHeight="1" x14ac:dyDescent="0.25">
      <c r="AC940" s="60"/>
    </row>
    <row r="941" spans="29:29" ht="15.75" customHeight="1" x14ac:dyDescent="0.25">
      <c r="AC941" s="60"/>
    </row>
    <row r="942" spans="29:29" ht="15.75" customHeight="1" x14ac:dyDescent="0.25">
      <c r="AC942" s="60"/>
    </row>
    <row r="943" spans="29:29" ht="15.75" customHeight="1" x14ac:dyDescent="0.25">
      <c r="AC943" s="60"/>
    </row>
    <row r="944" spans="29:29" ht="15.75" customHeight="1" x14ac:dyDescent="0.25">
      <c r="AC944" s="60"/>
    </row>
    <row r="945" spans="29:29" ht="15.75" customHeight="1" x14ac:dyDescent="0.25">
      <c r="AC945" s="60"/>
    </row>
    <row r="946" spans="29:29" ht="15.75" customHeight="1" x14ac:dyDescent="0.25">
      <c r="AC946" s="60"/>
    </row>
    <row r="947" spans="29:29" ht="15.75" customHeight="1" x14ac:dyDescent="0.25">
      <c r="AC947" s="60"/>
    </row>
    <row r="948" spans="29:29" ht="15.75" customHeight="1" x14ac:dyDescent="0.25">
      <c r="AC948" s="60"/>
    </row>
    <row r="949" spans="29:29" ht="15.75" customHeight="1" x14ac:dyDescent="0.25">
      <c r="AC949" s="60"/>
    </row>
    <row r="950" spans="29:29" ht="15.75" customHeight="1" x14ac:dyDescent="0.25">
      <c r="AC950" s="60"/>
    </row>
    <row r="951" spans="29:29" ht="15.75" customHeight="1" x14ac:dyDescent="0.25">
      <c r="AC951" s="60"/>
    </row>
    <row r="952" spans="29:29" ht="15.75" customHeight="1" x14ac:dyDescent="0.25">
      <c r="AC952" s="60"/>
    </row>
    <row r="953" spans="29:29" ht="15.75" customHeight="1" x14ac:dyDescent="0.25">
      <c r="AC953" s="60"/>
    </row>
    <row r="954" spans="29:29" ht="15.75" customHeight="1" x14ac:dyDescent="0.25">
      <c r="AC954" s="60"/>
    </row>
    <row r="955" spans="29:29" ht="15.75" customHeight="1" x14ac:dyDescent="0.25">
      <c r="AC955" s="60"/>
    </row>
    <row r="956" spans="29:29" ht="15.75" customHeight="1" x14ac:dyDescent="0.25">
      <c r="AC956" s="60"/>
    </row>
    <row r="957" spans="29:29" ht="15.75" customHeight="1" x14ac:dyDescent="0.25">
      <c r="AC957" s="60"/>
    </row>
    <row r="958" spans="29:29" ht="15.75" customHeight="1" x14ac:dyDescent="0.25">
      <c r="AC958" s="60"/>
    </row>
    <row r="959" spans="29:29" ht="15.75" customHeight="1" x14ac:dyDescent="0.25">
      <c r="AC959" s="60"/>
    </row>
    <row r="960" spans="29:29" ht="15.75" customHeight="1" x14ac:dyDescent="0.25">
      <c r="AC960" s="60"/>
    </row>
    <row r="961" spans="29:29" ht="15.75" customHeight="1" x14ac:dyDescent="0.25">
      <c r="AC961" s="60"/>
    </row>
    <row r="962" spans="29:29" ht="15.75" customHeight="1" x14ac:dyDescent="0.25">
      <c r="AC962" s="60"/>
    </row>
    <row r="963" spans="29:29" ht="15.75" customHeight="1" x14ac:dyDescent="0.25">
      <c r="AC963" s="60"/>
    </row>
    <row r="964" spans="29:29" ht="15.75" customHeight="1" x14ac:dyDescent="0.25">
      <c r="AC964" s="60"/>
    </row>
    <row r="965" spans="29:29" ht="15.75" customHeight="1" x14ac:dyDescent="0.25">
      <c r="AC965" s="60"/>
    </row>
    <row r="966" spans="29:29" ht="15.75" customHeight="1" x14ac:dyDescent="0.25">
      <c r="AC966" s="60"/>
    </row>
    <row r="967" spans="29:29" ht="15.75" customHeight="1" x14ac:dyDescent="0.25">
      <c r="AC967" s="60"/>
    </row>
    <row r="968" spans="29:29" ht="15.75" customHeight="1" x14ac:dyDescent="0.25">
      <c r="AC968" s="60"/>
    </row>
    <row r="969" spans="29:29" ht="15.75" customHeight="1" x14ac:dyDescent="0.25">
      <c r="AC969" s="60"/>
    </row>
    <row r="970" spans="29:29" ht="15.75" customHeight="1" x14ac:dyDescent="0.25">
      <c r="AC970" s="60"/>
    </row>
    <row r="971" spans="29:29" ht="15.75" customHeight="1" x14ac:dyDescent="0.25">
      <c r="AC971" s="60"/>
    </row>
    <row r="972" spans="29:29" ht="15.75" customHeight="1" x14ac:dyDescent="0.25">
      <c r="AC972" s="60"/>
    </row>
    <row r="973" spans="29:29" ht="15.75" customHeight="1" x14ac:dyDescent="0.25">
      <c r="AC973" s="60"/>
    </row>
    <row r="974" spans="29:29" ht="15.75" customHeight="1" x14ac:dyDescent="0.25">
      <c r="AC974" s="60"/>
    </row>
    <row r="975" spans="29:29" ht="15.75" customHeight="1" x14ac:dyDescent="0.25">
      <c r="AC975" s="60"/>
    </row>
    <row r="976" spans="29:29" ht="15.75" customHeight="1" x14ac:dyDescent="0.25">
      <c r="AC976" s="60"/>
    </row>
    <row r="977" spans="29:29" ht="15.75" customHeight="1" x14ac:dyDescent="0.25">
      <c r="AC977" s="60"/>
    </row>
    <row r="978" spans="29:29" ht="15.75" customHeight="1" x14ac:dyDescent="0.25">
      <c r="AC978" s="60"/>
    </row>
    <row r="979" spans="29:29" ht="15.75" customHeight="1" x14ac:dyDescent="0.25">
      <c r="AC979" s="60"/>
    </row>
    <row r="980" spans="29:29" ht="15.75" customHeight="1" x14ac:dyDescent="0.25">
      <c r="AC980" s="60"/>
    </row>
    <row r="981" spans="29:29" ht="15.75" customHeight="1" x14ac:dyDescent="0.25">
      <c r="AC981" s="60"/>
    </row>
    <row r="982" spans="29:29" ht="15.75" customHeight="1" x14ac:dyDescent="0.25">
      <c r="AC982" s="60"/>
    </row>
    <row r="983" spans="29:29" ht="15.75" customHeight="1" x14ac:dyDescent="0.25">
      <c r="AC983" s="60"/>
    </row>
    <row r="984" spans="29:29" ht="15.75" customHeight="1" x14ac:dyDescent="0.25">
      <c r="AC984" s="60"/>
    </row>
    <row r="985" spans="29:29" ht="15.75" customHeight="1" x14ac:dyDescent="0.25">
      <c r="AC985" s="60"/>
    </row>
    <row r="986" spans="29:29" ht="15.75" customHeight="1" x14ac:dyDescent="0.25">
      <c r="AC986" s="60"/>
    </row>
    <row r="987" spans="29:29" ht="15.75" customHeight="1" x14ac:dyDescent="0.25">
      <c r="AC987" s="60"/>
    </row>
    <row r="988" spans="29:29" ht="15.75" customHeight="1" x14ac:dyDescent="0.25">
      <c r="AC988" s="60"/>
    </row>
    <row r="989" spans="29:29" ht="15.75" customHeight="1" x14ac:dyDescent="0.25">
      <c r="AC989" s="60"/>
    </row>
    <row r="990" spans="29:29" ht="15.75" customHeight="1" x14ac:dyDescent="0.25">
      <c r="AC990" s="60"/>
    </row>
    <row r="991" spans="29:29" ht="15.75" customHeight="1" x14ac:dyDescent="0.25">
      <c r="AC991" s="60"/>
    </row>
    <row r="992" spans="29:29" ht="15.75" customHeight="1" x14ac:dyDescent="0.25">
      <c r="AC992" s="60"/>
    </row>
    <row r="993" spans="29:29" ht="15.75" customHeight="1" x14ac:dyDescent="0.25">
      <c r="AC993" s="60"/>
    </row>
    <row r="994" spans="29:29" ht="15.75" customHeight="1" x14ac:dyDescent="0.25">
      <c r="AC994" s="60"/>
    </row>
    <row r="995" spans="29:29" ht="15.75" customHeight="1" x14ac:dyDescent="0.25">
      <c r="AC995" s="60"/>
    </row>
    <row r="996" spans="29:29" ht="15.75" customHeight="1" x14ac:dyDescent="0.25">
      <c r="AC996" s="60"/>
    </row>
    <row r="997" spans="29:29" ht="15.75" customHeight="1" x14ac:dyDescent="0.25">
      <c r="AC997" s="60"/>
    </row>
    <row r="998" spans="29:29" ht="15.75" customHeight="1" x14ac:dyDescent="0.25">
      <c r="AC998" s="60"/>
    </row>
    <row r="999" spans="29:29" ht="15.75" customHeight="1" x14ac:dyDescent="0.25">
      <c r="AC999" s="60"/>
    </row>
    <row r="1000" spans="29:29" ht="15.75" customHeight="1" x14ac:dyDescent="0.25">
      <c r="AC1000" s="60"/>
    </row>
  </sheetData>
  <autoFilter ref="A2:AB54" xr:uid="{00000000-0009-0000-0000-000000000000}"/>
  <mergeCells count="1">
    <mergeCell ref="AC2:AC43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 x14ac:dyDescent="0.25"/>
  <cols>
    <col min="1" max="1" width="42.7109375" customWidth="1"/>
    <col min="2" max="26" width="8.7109375" customWidth="1"/>
  </cols>
  <sheetData>
    <row r="2" spans="1:2" x14ac:dyDescent="0.25">
      <c r="A2" s="7" t="s">
        <v>72</v>
      </c>
      <c r="B2" s="7">
        <v>299.5</v>
      </c>
    </row>
    <row r="3" spans="1:2" x14ac:dyDescent="0.25">
      <c r="A3" s="7" t="s">
        <v>73</v>
      </c>
      <c r="B3" s="7">
        <v>367.55</v>
      </c>
    </row>
    <row r="4" spans="1:2" x14ac:dyDescent="0.25">
      <c r="A4" s="7" t="s">
        <v>74</v>
      </c>
      <c r="B4" s="7">
        <v>93.77</v>
      </c>
    </row>
    <row r="5" spans="1:2" x14ac:dyDescent="0.25">
      <c r="A5" s="7" t="s">
        <v>75</v>
      </c>
      <c r="B5" s="7">
        <v>249.7</v>
      </c>
    </row>
    <row r="6" spans="1:2" x14ac:dyDescent="0.25">
      <c r="A6" s="7" t="s">
        <v>76</v>
      </c>
    </row>
    <row r="8" spans="1:2" x14ac:dyDescent="0.25">
      <c r="B8" s="7">
        <f>SUM(B2:B6)</f>
        <v>1010.52</v>
      </c>
    </row>
    <row r="15" spans="1:2" x14ac:dyDescent="0.25">
      <c r="A15" s="7" t="s">
        <v>77</v>
      </c>
      <c r="B15" s="7">
        <v>214</v>
      </c>
    </row>
    <row r="16" spans="1:2" x14ac:dyDescent="0.25">
      <c r="B16" s="7">
        <v>240</v>
      </c>
    </row>
    <row r="19" spans="3:11" x14ac:dyDescent="0.25">
      <c r="C19" s="7" t="s">
        <v>78</v>
      </c>
    </row>
    <row r="20" spans="3:11" x14ac:dyDescent="0.25">
      <c r="C20" s="7" t="s">
        <v>79</v>
      </c>
    </row>
    <row r="21" spans="3:11" ht="15.75" customHeight="1" x14ac:dyDescent="0.25">
      <c r="C21" s="7" t="s">
        <v>80</v>
      </c>
      <c r="K21" s="7" t="s">
        <v>81</v>
      </c>
    </row>
    <row r="22" spans="3:11" ht="15.75" customHeight="1" x14ac:dyDescent="0.25">
      <c r="C22" s="7" t="s">
        <v>82</v>
      </c>
    </row>
    <row r="23" spans="3:11" ht="15.75" customHeight="1" x14ac:dyDescent="0.25"/>
    <row r="24" spans="3:11" ht="15.75" customHeight="1" x14ac:dyDescent="0.25"/>
    <row r="25" spans="3:11" ht="15.75" customHeight="1" x14ac:dyDescent="0.25"/>
    <row r="26" spans="3:11" ht="15.75" customHeight="1" x14ac:dyDescent="0.25"/>
    <row r="27" spans="3:11" ht="15.75" customHeight="1" x14ac:dyDescent="0.25"/>
    <row r="28" spans="3:11" ht="15.75" customHeight="1" x14ac:dyDescent="0.25"/>
    <row r="29" spans="3:11" ht="15.75" customHeight="1" x14ac:dyDescent="0.25"/>
    <row r="30" spans="3:11" ht="15.75" customHeight="1" x14ac:dyDescent="0.25"/>
    <row r="31" spans="3:11" ht="15.75" customHeight="1" x14ac:dyDescent="0.25"/>
    <row r="32" spans="3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5"/>
  <cols>
    <col min="1" max="1" width="28.7109375" customWidth="1"/>
    <col min="2" max="2" width="14" customWidth="1"/>
    <col min="3" max="3" width="17.140625" customWidth="1"/>
    <col min="4" max="4" width="19" customWidth="1"/>
    <col min="5" max="5" width="8.7109375" customWidth="1"/>
    <col min="6" max="6" width="7.5703125" customWidth="1"/>
    <col min="7" max="7" width="36.42578125" customWidth="1"/>
    <col min="8" max="26" width="8.7109375" customWidth="1"/>
  </cols>
  <sheetData>
    <row r="1" spans="1:3" x14ac:dyDescent="0.25">
      <c r="A1" s="61" t="s">
        <v>83</v>
      </c>
      <c r="C1" s="6"/>
    </row>
    <row r="2" spans="1:3" x14ac:dyDescent="0.25">
      <c r="C2" s="6"/>
    </row>
    <row r="3" spans="1:3" x14ac:dyDescent="0.25">
      <c r="A3" s="7" t="s">
        <v>84</v>
      </c>
      <c r="B3" s="62">
        <v>45295</v>
      </c>
      <c r="C3" s="63">
        <v>502.26</v>
      </c>
    </row>
    <row r="4" spans="1:3" x14ac:dyDescent="0.25">
      <c r="C4" s="6"/>
    </row>
    <row r="5" spans="1:3" x14ac:dyDescent="0.25">
      <c r="A5" s="61" t="s">
        <v>85</v>
      </c>
      <c r="C5" s="6"/>
    </row>
    <row r="6" spans="1:3" x14ac:dyDescent="0.25">
      <c r="A6" s="7" t="s">
        <v>86</v>
      </c>
      <c r="B6" s="62">
        <v>45297</v>
      </c>
      <c r="C6" s="6">
        <v>20</v>
      </c>
    </row>
    <row r="7" spans="1:3" x14ac:dyDescent="0.25">
      <c r="A7" s="7" t="s">
        <v>87</v>
      </c>
      <c r="B7" s="62">
        <v>45297</v>
      </c>
      <c r="C7" s="6">
        <v>254.53</v>
      </c>
    </row>
    <row r="8" spans="1:3" x14ac:dyDescent="0.25">
      <c r="A8" s="7" t="s">
        <v>87</v>
      </c>
      <c r="B8" s="62">
        <v>45296</v>
      </c>
      <c r="C8" s="6">
        <v>320.52</v>
      </c>
    </row>
    <row r="9" spans="1:3" x14ac:dyDescent="0.25">
      <c r="A9" s="7" t="s">
        <v>87</v>
      </c>
      <c r="B9" s="62">
        <v>45295</v>
      </c>
      <c r="C9" s="6">
        <v>116.29</v>
      </c>
    </row>
    <row r="10" spans="1:3" x14ac:dyDescent="0.25">
      <c r="A10" s="7" t="s">
        <v>88</v>
      </c>
      <c r="B10" s="62">
        <v>45295</v>
      </c>
      <c r="C10" s="6">
        <v>96</v>
      </c>
    </row>
    <row r="11" spans="1:3" x14ac:dyDescent="0.25">
      <c r="A11" s="7" t="s">
        <v>89</v>
      </c>
      <c r="B11" s="62">
        <v>45294</v>
      </c>
      <c r="C11" s="6">
        <v>191.51</v>
      </c>
    </row>
    <row r="12" spans="1:3" x14ac:dyDescent="0.25">
      <c r="A12" s="7" t="s">
        <v>90</v>
      </c>
      <c r="B12" s="62">
        <v>45294</v>
      </c>
      <c r="C12" s="6">
        <v>128.51</v>
      </c>
    </row>
    <row r="13" spans="1:3" x14ac:dyDescent="0.25">
      <c r="A13" s="7" t="s">
        <v>91</v>
      </c>
      <c r="B13" s="62">
        <v>45294</v>
      </c>
      <c r="C13" s="6">
        <v>36.26</v>
      </c>
    </row>
    <row r="14" spans="1:3" x14ac:dyDescent="0.25">
      <c r="B14" s="62"/>
      <c r="C14" s="6"/>
    </row>
    <row r="15" spans="1:3" x14ac:dyDescent="0.25">
      <c r="B15" s="62"/>
      <c r="C15" s="63">
        <f>SUM(C6:C13)</f>
        <v>1163.6199999999999</v>
      </c>
    </row>
    <row r="16" spans="1:3" ht="25.5" customHeight="1" x14ac:dyDescent="0.25">
      <c r="B16" s="62"/>
      <c r="C16" s="6"/>
    </row>
    <row r="17" spans="1:10" x14ac:dyDescent="0.25">
      <c r="A17" s="7" t="s">
        <v>92</v>
      </c>
      <c r="B17" s="62">
        <v>45295</v>
      </c>
      <c r="C17" s="6">
        <v>290.5</v>
      </c>
    </row>
    <row r="18" spans="1:10" x14ac:dyDescent="0.25">
      <c r="B18" s="62"/>
      <c r="C18" s="63"/>
    </row>
    <row r="19" spans="1:10" x14ac:dyDescent="0.25">
      <c r="A19" s="7" t="s">
        <v>93</v>
      </c>
      <c r="B19" s="62"/>
      <c r="C19" s="63">
        <f>C15+C3</f>
        <v>1665.8799999999999</v>
      </c>
      <c r="D19" s="7" t="s">
        <v>94</v>
      </c>
      <c r="E19" s="61" t="s">
        <v>95</v>
      </c>
      <c r="F19" s="7">
        <v>555.29</v>
      </c>
      <c r="G19" s="61" t="s">
        <v>96</v>
      </c>
    </row>
    <row r="20" spans="1:10" x14ac:dyDescent="0.25">
      <c r="B20" s="62"/>
      <c r="C20" s="63"/>
      <c r="E20" s="61" t="s">
        <v>97</v>
      </c>
      <c r="F20" s="7">
        <v>555.29</v>
      </c>
      <c r="G20" s="61" t="s">
        <v>98</v>
      </c>
      <c r="H20" s="61"/>
      <c r="I20" s="61"/>
      <c r="J20" s="61"/>
    </row>
    <row r="21" spans="1:10" ht="15.75" customHeight="1" x14ac:dyDescent="0.25">
      <c r="C21" s="6"/>
      <c r="E21" s="61" t="s">
        <v>99</v>
      </c>
      <c r="F21" s="7">
        <v>555.29</v>
      </c>
      <c r="G21" s="61" t="s">
        <v>100</v>
      </c>
    </row>
    <row r="22" spans="1:10" ht="15.75" customHeight="1" x14ac:dyDescent="0.25">
      <c r="A22" s="64"/>
      <c r="C22" s="6"/>
    </row>
    <row r="23" spans="1:10" ht="15.75" customHeight="1" x14ac:dyDescent="0.25">
      <c r="C23" s="6"/>
    </row>
    <row r="24" spans="1:10" ht="15.75" customHeight="1" x14ac:dyDescent="0.25">
      <c r="C24" s="6"/>
    </row>
    <row r="25" spans="1:10" ht="15.75" customHeight="1" x14ac:dyDescent="0.25">
      <c r="C25" s="6"/>
    </row>
    <row r="26" spans="1:10" ht="15.75" customHeight="1" x14ac:dyDescent="0.25">
      <c r="C26" s="6"/>
    </row>
    <row r="27" spans="1:10" ht="15.75" customHeight="1" x14ac:dyDescent="0.25">
      <c r="C27" s="6"/>
    </row>
    <row r="28" spans="1:10" ht="15.75" customHeight="1" x14ac:dyDescent="0.25">
      <c r="C28" s="6"/>
    </row>
    <row r="29" spans="1:10" ht="15.75" customHeight="1" x14ac:dyDescent="0.25">
      <c r="C29" s="6"/>
    </row>
    <row r="30" spans="1:10" ht="15.75" customHeight="1" x14ac:dyDescent="0.25">
      <c r="C30" s="6"/>
    </row>
    <row r="31" spans="1:10" ht="15.75" customHeight="1" x14ac:dyDescent="0.25">
      <c r="C31" s="6"/>
    </row>
    <row r="32" spans="1:10" ht="15.75" customHeight="1" x14ac:dyDescent="0.25">
      <c r="C32" s="6"/>
    </row>
    <row r="33" spans="3:3" ht="15.75" customHeight="1" x14ac:dyDescent="0.25">
      <c r="C33" s="6"/>
    </row>
    <row r="34" spans="3:3" ht="15.75" customHeight="1" x14ac:dyDescent="0.25">
      <c r="C34" s="6"/>
    </row>
    <row r="35" spans="3:3" ht="15.75" customHeight="1" x14ac:dyDescent="0.25">
      <c r="C35" s="6"/>
    </row>
    <row r="36" spans="3:3" ht="15.75" customHeight="1" x14ac:dyDescent="0.25">
      <c r="C36" s="6"/>
    </row>
    <row r="37" spans="3:3" ht="15.75" customHeight="1" x14ac:dyDescent="0.25">
      <c r="C37" s="6"/>
    </row>
    <row r="38" spans="3:3" ht="15.75" customHeight="1" x14ac:dyDescent="0.25">
      <c r="C38" s="6"/>
    </row>
    <row r="39" spans="3:3" ht="15.75" customHeight="1" x14ac:dyDescent="0.25">
      <c r="C39" s="6"/>
    </row>
    <row r="40" spans="3:3" ht="15.75" customHeight="1" x14ac:dyDescent="0.25">
      <c r="C40" s="6"/>
    </row>
    <row r="41" spans="3:3" ht="15.75" customHeight="1" x14ac:dyDescent="0.25">
      <c r="C41" s="6"/>
    </row>
    <row r="42" spans="3:3" ht="15.75" customHeight="1" x14ac:dyDescent="0.25">
      <c r="C42" s="6"/>
    </row>
    <row r="43" spans="3:3" ht="15.75" customHeight="1" x14ac:dyDescent="0.25">
      <c r="C43" s="6"/>
    </row>
    <row r="44" spans="3:3" ht="15.75" customHeight="1" x14ac:dyDescent="0.25">
      <c r="C44" s="6"/>
    </row>
    <row r="45" spans="3:3" ht="15.75" customHeight="1" x14ac:dyDescent="0.25">
      <c r="C45" s="6"/>
    </row>
    <row r="46" spans="3:3" ht="15.75" customHeight="1" x14ac:dyDescent="0.25">
      <c r="C46" s="6"/>
    </row>
    <row r="47" spans="3:3" ht="15.75" customHeight="1" x14ac:dyDescent="0.25">
      <c r="C47" s="6"/>
    </row>
    <row r="48" spans="3:3" ht="15.75" customHeight="1" x14ac:dyDescent="0.25">
      <c r="C48" s="6"/>
    </row>
    <row r="49" spans="3:3" ht="15.75" customHeight="1" x14ac:dyDescent="0.25">
      <c r="C49" s="6"/>
    </row>
    <row r="50" spans="3:3" ht="15.75" customHeight="1" x14ac:dyDescent="0.25">
      <c r="C50" s="6"/>
    </row>
    <row r="51" spans="3:3" ht="15.75" customHeight="1" x14ac:dyDescent="0.25">
      <c r="C51" s="6"/>
    </row>
    <row r="52" spans="3:3" ht="15.75" customHeight="1" x14ac:dyDescent="0.25">
      <c r="C52" s="6"/>
    </row>
    <row r="53" spans="3:3" ht="15.75" customHeight="1" x14ac:dyDescent="0.25">
      <c r="C53" s="6"/>
    </row>
    <row r="54" spans="3:3" ht="15.75" customHeight="1" x14ac:dyDescent="0.25">
      <c r="C54" s="6"/>
    </row>
    <row r="55" spans="3:3" ht="15.75" customHeight="1" x14ac:dyDescent="0.25">
      <c r="C55" s="6"/>
    </row>
    <row r="56" spans="3:3" ht="15.75" customHeight="1" x14ac:dyDescent="0.25">
      <c r="C56" s="6"/>
    </row>
    <row r="57" spans="3:3" ht="15.75" customHeight="1" x14ac:dyDescent="0.25">
      <c r="C57" s="6"/>
    </row>
    <row r="58" spans="3:3" ht="15.75" customHeight="1" x14ac:dyDescent="0.25">
      <c r="C58" s="6"/>
    </row>
    <row r="59" spans="3:3" ht="15.75" customHeight="1" x14ac:dyDescent="0.25">
      <c r="C59" s="6"/>
    </row>
    <row r="60" spans="3:3" ht="15.75" customHeight="1" x14ac:dyDescent="0.25">
      <c r="C60" s="6"/>
    </row>
    <row r="61" spans="3:3" ht="15.75" customHeight="1" x14ac:dyDescent="0.25">
      <c r="C61" s="6"/>
    </row>
    <row r="62" spans="3:3" ht="15.75" customHeight="1" x14ac:dyDescent="0.25">
      <c r="C62" s="6"/>
    </row>
    <row r="63" spans="3:3" ht="15.75" customHeight="1" x14ac:dyDescent="0.25">
      <c r="C63" s="6"/>
    </row>
    <row r="64" spans="3:3" ht="15.75" customHeight="1" x14ac:dyDescent="0.25">
      <c r="C64" s="6"/>
    </row>
    <row r="65" spans="3:3" ht="15.75" customHeight="1" x14ac:dyDescent="0.25">
      <c r="C65" s="6"/>
    </row>
    <row r="66" spans="3:3" ht="15.75" customHeight="1" x14ac:dyDescent="0.25">
      <c r="C66" s="6"/>
    </row>
    <row r="67" spans="3:3" ht="15.75" customHeight="1" x14ac:dyDescent="0.25">
      <c r="C67" s="6"/>
    </row>
    <row r="68" spans="3:3" ht="15.75" customHeight="1" x14ac:dyDescent="0.25">
      <c r="C68" s="6"/>
    </row>
    <row r="69" spans="3:3" ht="15.75" customHeight="1" x14ac:dyDescent="0.25">
      <c r="C69" s="6"/>
    </row>
    <row r="70" spans="3:3" ht="15.75" customHeight="1" x14ac:dyDescent="0.25">
      <c r="C70" s="6"/>
    </row>
    <row r="71" spans="3:3" ht="15.75" customHeight="1" x14ac:dyDescent="0.25">
      <c r="C71" s="6"/>
    </row>
    <row r="72" spans="3:3" ht="15.75" customHeight="1" x14ac:dyDescent="0.25">
      <c r="C72" s="6"/>
    </row>
    <row r="73" spans="3:3" ht="15.75" customHeight="1" x14ac:dyDescent="0.25">
      <c r="C73" s="6"/>
    </row>
    <row r="74" spans="3:3" ht="15.75" customHeight="1" x14ac:dyDescent="0.25">
      <c r="C74" s="6"/>
    </row>
    <row r="75" spans="3:3" ht="15.75" customHeight="1" x14ac:dyDescent="0.25">
      <c r="C75" s="6"/>
    </row>
    <row r="76" spans="3:3" ht="15.75" customHeight="1" x14ac:dyDescent="0.25">
      <c r="C76" s="6"/>
    </row>
    <row r="77" spans="3:3" ht="15.75" customHeight="1" x14ac:dyDescent="0.25">
      <c r="C77" s="6"/>
    </row>
    <row r="78" spans="3:3" ht="15.75" customHeight="1" x14ac:dyDescent="0.25">
      <c r="C78" s="6"/>
    </row>
    <row r="79" spans="3:3" ht="15.75" customHeight="1" x14ac:dyDescent="0.25">
      <c r="C79" s="6"/>
    </row>
    <row r="80" spans="3:3" ht="15.75" customHeight="1" x14ac:dyDescent="0.25">
      <c r="C80" s="6"/>
    </row>
    <row r="81" spans="3:3" ht="15.75" customHeight="1" x14ac:dyDescent="0.25">
      <c r="C81" s="6"/>
    </row>
    <row r="82" spans="3:3" ht="15.75" customHeight="1" x14ac:dyDescent="0.25">
      <c r="C82" s="6"/>
    </row>
    <row r="83" spans="3:3" ht="15.75" customHeight="1" x14ac:dyDescent="0.25">
      <c r="C83" s="6"/>
    </row>
    <row r="84" spans="3:3" ht="15.75" customHeight="1" x14ac:dyDescent="0.25">
      <c r="C84" s="6"/>
    </row>
    <row r="85" spans="3:3" ht="15.75" customHeight="1" x14ac:dyDescent="0.25">
      <c r="C85" s="6"/>
    </row>
    <row r="86" spans="3:3" ht="15.75" customHeight="1" x14ac:dyDescent="0.25">
      <c r="C86" s="6"/>
    </row>
    <row r="87" spans="3:3" ht="15.75" customHeight="1" x14ac:dyDescent="0.25">
      <c r="C87" s="6"/>
    </row>
    <row r="88" spans="3:3" ht="15.75" customHeight="1" x14ac:dyDescent="0.25">
      <c r="C88" s="6"/>
    </row>
    <row r="89" spans="3:3" ht="15.75" customHeight="1" x14ac:dyDescent="0.25">
      <c r="C89" s="6"/>
    </row>
    <row r="90" spans="3:3" ht="15.75" customHeight="1" x14ac:dyDescent="0.25">
      <c r="C90" s="6"/>
    </row>
    <row r="91" spans="3:3" ht="15.75" customHeight="1" x14ac:dyDescent="0.25">
      <c r="C91" s="6"/>
    </row>
    <row r="92" spans="3:3" ht="15.75" customHeight="1" x14ac:dyDescent="0.25">
      <c r="C92" s="6"/>
    </row>
    <row r="93" spans="3:3" ht="15.75" customHeight="1" x14ac:dyDescent="0.25">
      <c r="C93" s="6"/>
    </row>
    <row r="94" spans="3:3" ht="15.75" customHeight="1" x14ac:dyDescent="0.25">
      <c r="C94" s="6"/>
    </row>
    <row r="95" spans="3:3" ht="15.75" customHeight="1" x14ac:dyDescent="0.25">
      <c r="C95" s="6"/>
    </row>
    <row r="96" spans="3:3" ht="15.75" customHeight="1" x14ac:dyDescent="0.25">
      <c r="C96" s="6"/>
    </row>
    <row r="97" spans="3:3" ht="15.75" customHeight="1" x14ac:dyDescent="0.25">
      <c r="C97" s="6"/>
    </row>
    <row r="98" spans="3:3" ht="15.75" customHeight="1" x14ac:dyDescent="0.25">
      <c r="C98" s="6"/>
    </row>
    <row r="99" spans="3:3" ht="15.75" customHeight="1" x14ac:dyDescent="0.25">
      <c r="C99" s="6"/>
    </row>
    <row r="100" spans="3:3" ht="15.75" customHeight="1" x14ac:dyDescent="0.25">
      <c r="C100" s="6"/>
    </row>
    <row r="101" spans="3:3" ht="15.75" customHeight="1" x14ac:dyDescent="0.25">
      <c r="C101" s="6"/>
    </row>
    <row r="102" spans="3:3" ht="15.75" customHeight="1" x14ac:dyDescent="0.25">
      <c r="C102" s="6"/>
    </row>
    <row r="103" spans="3:3" ht="15.75" customHeight="1" x14ac:dyDescent="0.25">
      <c r="C103" s="6"/>
    </row>
    <row r="104" spans="3:3" ht="15.75" customHeight="1" x14ac:dyDescent="0.25">
      <c r="C104" s="6"/>
    </row>
    <row r="105" spans="3:3" ht="15.75" customHeight="1" x14ac:dyDescent="0.25">
      <c r="C105" s="6"/>
    </row>
    <row r="106" spans="3:3" ht="15.75" customHeight="1" x14ac:dyDescent="0.25">
      <c r="C106" s="6"/>
    </row>
    <row r="107" spans="3:3" ht="15.75" customHeight="1" x14ac:dyDescent="0.25">
      <c r="C107" s="6"/>
    </row>
    <row r="108" spans="3:3" ht="15.75" customHeight="1" x14ac:dyDescent="0.25">
      <c r="C108" s="6"/>
    </row>
    <row r="109" spans="3:3" ht="15.75" customHeight="1" x14ac:dyDescent="0.25">
      <c r="C109" s="6"/>
    </row>
    <row r="110" spans="3:3" ht="15.75" customHeight="1" x14ac:dyDescent="0.25">
      <c r="C110" s="6"/>
    </row>
    <row r="111" spans="3:3" ht="15.75" customHeight="1" x14ac:dyDescent="0.25">
      <c r="C111" s="6"/>
    </row>
    <row r="112" spans="3:3" ht="15.75" customHeight="1" x14ac:dyDescent="0.25">
      <c r="C112" s="6"/>
    </row>
    <row r="113" spans="3:3" ht="15.75" customHeight="1" x14ac:dyDescent="0.25">
      <c r="C113" s="6"/>
    </row>
    <row r="114" spans="3:3" ht="15.75" customHeight="1" x14ac:dyDescent="0.25">
      <c r="C114" s="6"/>
    </row>
    <row r="115" spans="3:3" ht="15.75" customHeight="1" x14ac:dyDescent="0.25">
      <c r="C115" s="6"/>
    </row>
    <row r="116" spans="3:3" ht="15.75" customHeight="1" x14ac:dyDescent="0.25">
      <c r="C116" s="6"/>
    </row>
    <row r="117" spans="3:3" ht="15.75" customHeight="1" x14ac:dyDescent="0.25">
      <c r="C117" s="6"/>
    </row>
    <row r="118" spans="3:3" ht="15.75" customHeight="1" x14ac:dyDescent="0.25">
      <c r="C118" s="6"/>
    </row>
    <row r="119" spans="3:3" ht="15.75" customHeight="1" x14ac:dyDescent="0.25">
      <c r="C119" s="6"/>
    </row>
    <row r="120" spans="3:3" ht="15.75" customHeight="1" x14ac:dyDescent="0.25">
      <c r="C120" s="6"/>
    </row>
    <row r="121" spans="3:3" ht="15.75" customHeight="1" x14ac:dyDescent="0.25">
      <c r="C121" s="6"/>
    </row>
    <row r="122" spans="3:3" ht="15.75" customHeight="1" x14ac:dyDescent="0.25">
      <c r="C122" s="6"/>
    </row>
    <row r="123" spans="3:3" ht="15.75" customHeight="1" x14ac:dyDescent="0.25">
      <c r="C123" s="6"/>
    </row>
    <row r="124" spans="3:3" ht="15.75" customHeight="1" x14ac:dyDescent="0.25">
      <c r="C124" s="6"/>
    </row>
    <row r="125" spans="3:3" ht="15.75" customHeight="1" x14ac:dyDescent="0.25">
      <c r="C125" s="6"/>
    </row>
    <row r="126" spans="3:3" ht="15.75" customHeight="1" x14ac:dyDescent="0.25">
      <c r="C126" s="6"/>
    </row>
    <row r="127" spans="3:3" ht="15.75" customHeight="1" x14ac:dyDescent="0.25">
      <c r="C127" s="6"/>
    </row>
    <row r="128" spans="3:3" ht="15.75" customHeight="1" x14ac:dyDescent="0.25">
      <c r="C128" s="6"/>
    </row>
    <row r="129" spans="3:3" ht="15.75" customHeight="1" x14ac:dyDescent="0.25">
      <c r="C129" s="6"/>
    </row>
    <row r="130" spans="3:3" ht="15.75" customHeight="1" x14ac:dyDescent="0.25">
      <c r="C130" s="6"/>
    </row>
    <row r="131" spans="3:3" ht="15.75" customHeight="1" x14ac:dyDescent="0.25">
      <c r="C131" s="6"/>
    </row>
    <row r="132" spans="3:3" ht="15.75" customHeight="1" x14ac:dyDescent="0.25">
      <c r="C132" s="6"/>
    </row>
    <row r="133" spans="3:3" ht="15.75" customHeight="1" x14ac:dyDescent="0.25">
      <c r="C133" s="6"/>
    </row>
    <row r="134" spans="3:3" ht="15.75" customHeight="1" x14ac:dyDescent="0.25">
      <c r="C134" s="6"/>
    </row>
    <row r="135" spans="3:3" ht="15.75" customHeight="1" x14ac:dyDescent="0.25">
      <c r="C135" s="6"/>
    </row>
    <row r="136" spans="3:3" ht="15.75" customHeight="1" x14ac:dyDescent="0.25">
      <c r="C136" s="6"/>
    </row>
    <row r="137" spans="3:3" ht="15.75" customHeight="1" x14ac:dyDescent="0.25">
      <c r="C137" s="6"/>
    </row>
    <row r="138" spans="3:3" ht="15.75" customHeight="1" x14ac:dyDescent="0.25">
      <c r="C138" s="6"/>
    </row>
    <row r="139" spans="3:3" ht="15.75" customHeight="1" x14ac:dyDescent="0.25">
      <c r="C139" s="6"/>
    </row>
    <row r="140" spans="3:3" ht="15.75" customHeight="1" x14ac:dyDescent="0.25">
      <c r="C140" s="6"/>
    </row>
    <row r="141" spans="3:3" ht="15.75" customHeight="1" x14ac:dyDescent="0.25">
      <c r="C141" s="6"/>
    </row>
    <row r="142" spans="3:3" ht="15.75" customHeight="1" x14ac:dyDescent="0.25">
      <c r="C142" s="6"/>
    </row>
    <row r="143" spans="3:3" ht="15.75" customHeight="1" x14ac:dyDescent="0.25">
      <c r="C143" s="6"/>
    </row>
    <row r="144" spans="3:3" ht="15.75" customHeight="1" x14ac:dyDescent="0.25">
      <c r="C144" s="6"/>
    </row>
    <row r="145" spans="3:3" ht="15.75" customHeight="1" x14ac:dyDescent="0.25">
      <c r="C145" s="6"/>
    </row>
    <row r="146" spans="3:3" ht="15.75" customHeight="1" x14ac:dyDescent="0.25">
      <c r="C146" s="6"/>
    </row>
    <row r="147" spans="3:3" ht="15.75" customHeight="1" x14ac:dyDescent="0.25">
      <c r="C147" s="6"/>
    </row>
    <row r="148" spans="3:3" ht="15.75" customHeight="1" x14ac:dyDescent="0.25">
      <c r="C148" s="6"/>
    </row>
    <row r="149" spans="3:3" ht="15.75" customHeight="1" x14ac:dyDescent="0.25">
      <c r="C149" s="6"/>
    </row>
    <row r="150" spans="3:3" ht="15.75" customHeight="1" x14ac:dyDescent="0.25">
      <c r="C150" s="6"/>
    </row>
    <row r="151" spans="3:3" ht="15.75" customHeight="1" x14ac:dyDescent="0.25">
      <c r="C151" s="6"/>
    </row>
    <row r="152" spans="3:3" ht="15.75" customHeight="1" x14ac:dyDescent="0.25">
      <c r="C152" s="6"/>
    </row>
    <row r="153" spans="3:3" ht="15.75" customHeight="1" x14ac:dyDescent="0.25">
      <c r="C153" s="6"/>
    </row>
    <row r="154" spans="3:3" ht="15.75" customHeight="1" x14ac:dyDescent="0.25">
      <c r="C154" s="6"/>
    </row>
    <row r="155" spans="3:3" ht="15.75" customHeight="1" x14ac:dyDescent="0.25">
      <c r="C155" s="6"/>
    </row>
    <row r="156" spans="3:3" ht="15.75" customHeight="1" x14ac:dyDescent="0.25">
      <c r="C156" s="6"/>
    </row>
    <row r="157" spans="3:3" ht="15.75" customHeight="1" x14ac:dyDescent="0.25">
      <c r="C157" s="6"/>
    </row>
    <row r="158" spans="3:3" ht="15.75" customHeight="1" x14ac:dyDescent="0.25">
      <c r="C158" s="6"/>
    </row>
    <row r="159" spans="3:3" ht="15.75" customHeight="1" x14ac:dyDescent="0.25">
      <c r="C159" s="6"/>
    </row>
    <row r="160" spans="3:3" ht="15.75" customHeight="1" x14ac:dyDescent="0.25">
      <c r="C160" s="6"/>
    </row>
    <row r="161" spans="3:3" ht="15.75" customHeight="1" x14ac:dyDescent="0.25">
      <c r="C161" s="6"/>
    </row>
    <row r="162" spans="3:3" ht="15.75" customHeight="1" x14ac:dyDescent="0.25">
      <c r="C162" s="6"/>
    </row>
    <row r="163" spans="3:3" ht="15.75" customHeight="1" x14ac:dyDescent="0.25">
      <c r="C163" s="6"/>
    </row>
    <row r="164" spans="3:3" ht="15.75" customHeight="1" x14ac:dyDescent="0.25">
      <c r="C164" s="6"/>
    </row>
    <row r="165" spans="3:3" ht="15.75" customHeight="1" x14ac:dyDescent="0.25">
      <c r="C165" s="6"/>
    </row>
    <row r="166" spans="3:3" ht="15.75" customHeight="1" x14ac:dyDescent="0.25">
      <c r="C166" s="6"/>
    </row>
    <row r="167" spans="3:3" ht="15.75" customHeight="1" x14ac:dyDescent="0.25">
      <c r="C167" s="6"/>
    </row>
    <row r="168" spans="3:3" ht="15.75" customHeight="1" x14ac:dyDescent="0.25">
      <c r="C168" s="6"/>
    </row>
    <row r="169" spans="3:3" ht="15.75" customHeight="1" x14ac:dyDescent="0.25">
      <c r="C169" s="6"/>
    </row>
    <row r="170" spans="3:3" ht="15.75" customHeight="1" x14ac:dyDescent="0.25">
      <c r="C170" s="6"/>
    </row>
    <row r="171" spans="3:3" ht="15.75" customHeight="1" x14ac:dyDescent="0.25">
      <c r="C171" s="6"/>
    </row>
    <row r="172" spans="3:3" ht="15.75" customHeight="1" x14ac:dyDescent="0.25">
      <c r="C172" s="6"/>
    </row>
    <row r="173" spans="3:3" ht="15.75" customHeight="1" x14ac:dyDescent="0.25">
      <c r="C173" s="6"/>
    </row>
    <row r="174" spans="3:3" ht="15.75" customHeight="1" x14ac:dyDescent="0.25">
      <c r="C174" s="6"/>
    </row>
    <row r="175" spans="3:3" ht="15.75" customHeight="1" x14ac:dyDescent="0.25">
      <c r="C175" s="6"/>
    </row>
    <row r="176" spans="3:3" ht="15.75" customHeight="1" x14ac:dyDescent="0.25">
      <c r="C176" s="6"/>
    </row>
    <row r="177" spans="3:3" ht="15.75" customHeight="1" x14ac:dyDescent="0.25">
      <c r="C177" s="6"/>
    </row>
    <row r="178" spans="3:3" ht="15.75" customHeight="1" x14ac:dyDescent="0.25">
      <c r="C178" s="6"/>
    </row>
    <row r="179" spans="3:3" ht="15.75" customHeight="1" x14ac:dyDescent="0.25">
      <c r="C179" s="6"/>
    </row>
    <row r="180" spans="3:3" ht="15.75" customHeight="1" x14ac:dyDescent="0.25">
      <c r="C180" s="6"/>
    </row>
    <row r="181" spans="3:3" ht="15.75" customHeight="1" x14ac:dyDescent="0.25">
      <c r="C181" s="6"/>
    </row>
    <row r="182" spans="3:3" ht="15.75" customHeight="1" x14ac:dyDescent="0.25">
      <c r="C182" s="6"/>
    </row>
    <row r="183" spans="3:3" ht="15.75" customHeight="1" x14ac:dyDescent="0.25">
      <c r="C183" s="6"/>
    </row>
    <row r="184" spans="3:3" ht="15.75" customHeight="1" x14ac:dyDescent="0.25">
      <c r="C184" s="6"/>
    </row>
    <row r="185" spans="3:3" ht="15.75" customHeight="1" x14ac:dyDescent="0.25">
      <c r="C185" s="6"/>
    </row>
    <row r="186" spans="3:3" ht="15.75" customHeight="1" x14ac:dyDescent="0.25">
      <c r="C186" s="6"/>
    </row>
    <row r="187" spans="3:3" ht="15.75" customHeight="1" x14ac:dyDescent="0.25">
      <c r="C187" s="6"/>
    </row>
    <row r="188" spans="3:3" ht="15.75" customHeight="1" x14ac:dyDescent="0.25">
      <c r="C188" s="6"/>
    </row>
    <row r="189" spans="3:3" ht="15.75" customHeight="1" x14ac:dyDescent="0.25">
      <c r="C189" s="6"/>
    </row>
    <row r="190" spans="3:3" ht="15.75" customHeight="1" x14ac:dyDescent="0.25">
      <c r="C190" s="6"/>
    </row>
    <row r="191" spans="3:3" ht="15.75" customHeight="1" x14ac:dyDescent="0.25">
      <c r="C191" s="6"/>
    </row>
    <row r="192" spans="3:3" ht="15.75" customHeight="1" x14ac:dyDescent="0.25">
      <c r="C192" s="6"/>
    </row>
    <row r="193" spans="3:3" ht="15.75" customHeight="1" x14ac:dyDescent="0.25">
      <c r="C193" s="6"/>
    </row>
    <row r="194" spans="3:3" ht="15.75" customHeight="1" x14ac:dyDescent="0.25">
      <c r="C194" s="6"/>
    </row>
    <row r="195" spans="3:3" ht="15.75" customHeight="1" x14ac:dyDescent="0.25">
      <c r="C195" s="6"/>
    </row>
    <row r="196" spans="3:3" ht="15.75" customHeight="1" x14ac:dyDescent="0.25">
      <c r="C196" s="6"/>
    </row>
    <row r="197" spans="3:3" ht="15.75" customHeight="1" x14ac:dyDescent="0.25">
      <c r="C197" s="6"/>
    </row>
    <row r="198" spans="3:3" ht="15.75" customHeight="1" x14ac:dyDescent="0.25">
      <c r="C198" s="6"/>
    </row>
    <row r="199" spans="3:3" ht="15.75" customHeight="1" x14ac:dyDescent="0.25">
      <c r="C199" s="6"/>
    </row>
    <row r="200" spans="3:3" ht="15.75" customHeight="1" x14ac:dyDescent="0.25">
      <c r="C200" s="6"/>
    </row>
    <row r="201" spans="3:3" ht="15.75" customHeight="1" x14ac:dyDescent="0.25">
      <c r="C201" s="6"/>
    </row>
    <row r="202" spans="3:3" ht="15.75" customHeight="1" x14ac:dyDescent="0.25">
      <c r="C202" s="6"/>
    </row>
    <row r="203" spans="3:3" ht="15.75" customHeight="1" x14ac:dyDescent="0.25">
      <c r="C203" s="6"/>
    </row>
    <row r="204" spans="3:3" ht="15.75" customHeight="1" x14ac:dyDescent="0.25">
      <c r="C204" s="6"/>
    </row>
    <row r="205" spans="3:3" ht="15.75" customHeight="1" x14ac:dyDescent="0.25">
      <c r="C205" s="6"/>
    </row>
    <row r="206" spans="3:3" ht="15.75" customHeight="1" x14ac:dyDescent="0.25">
      <c r="C206" s="6"/>
    </row>
    <row r="207" spans="3:3" ht="15.75" customHeight="1" x14ac:dyDescent="0.25">
      <c r="C207" s="6"/>
    </row>
    <row r="208" spans="3:3" ht="15.75" customHeight="1" x14ac:dyDescent="0.25">
      <c r="C208" s="6"/>
    </row>
    <row r="209" spans="3:3" ht="15.75" customHeight="1" x14ac:dyDescent="0.25">
      <c r="C209" s="6"/>
    </row>
    <row r="210" spans="3:3" ht="15.75" customHeight="1" x14ac:dyDescent="0.25">
      <c r="C210" s="6"/>
    </row>
    <row r="211" spans="3:3" ht="15.75" customHeight="1" x14ac:dyDescent="0.25">
      <c r="C211" s="6"/>
    </row>
    <row r="212" spans="3:3" ht="15.75" customHeight="1" x14ac:dyDescent="0.25">
      <c r="C212" s="6"/>
    </row>
    <row r="213" spans="3:3" ht="15.75" customHeight="1" x14ac:dyDescent="0.25">
      <c r="C213" s="6"/>
    </row>
    <row r="214" spans="3:3" ht="15.75" customHeight="1" x14ac:dyDescent="0.25">
      <c r="C214" s="6"/>
    </row>
    <row r="215" spans="3:3" ht="15.75" customHeight="1" x14ac:dyDescent="0.25">
      <c r="C215" s="6"/>
    </row>
    <row r="216" spans="3:3" ht="15.75" customHeight="1" x14ac:dyDescent="0.25">
      <c r="C216" s="6"/>
    </row>
    <row r="217" spans="3:3" ht="15.75" customHeight="1" x14ac:dyDescent="0.25">
      <c r="C217" s="6"/>
    </row>
    <row r="218" spans="3:3" ht="15.75" customHeight="1" x14ac:dyDescent="0.25">
      <c r="C218" s="6"/>
    </row>
    <row r="219" spans="3:3" ht="15.75" customHeight="1" x14ac:dyDescent="0.25">
      <c r="C219" s="6"/>
    </row>
    <row r="220" spans="3:3" ht="15.75" customHeight="1" x14ac:dyDescent="0.25">
      <c r="C220" s="6"/>
    </row>
    <row r="221" spans="3:3" ht="15.75" customHeight="1" x14ac:dyDescent="0.25">
      <c r="C221" s="6"/>
    </row>
    <row r="222" spans="3:3" ht="15.75" customHeight="1" x14ac:dyDescent="0.25">
      <c r="C222" s="6"/>
    </row>
    <row r="223" spans="3:3" ht="15.75" customHeight="1" x14ac:dyDescent="0.25">
      <c r="C223" s="6"/>
    </row>
    <row r="224" spans="3:3" ht="15.75" customHeight="1" x14ac:dyDescent="0.25">
      <c r="C224" s="6"/>
    </row>
    <row r="225" spans="3:3" ht="15.75" customHeight="1" x14ac:dyDescent="0.25">
      <c r="C225" s="6"/>
    </row>
    <row r="226" spans="3:3" ht="15.75" customHeight="1" x14ac:dyDescent="0.25">
      <c r="C226" s="6"/>
    </row>
    <row r="227" spans="3:3" ht="15.75" customHeight="1" x14ac:dyDescent="0.25">
      <c r="C227" s="6"/>
    </row>
    <row r="228" spans="3:3" ht="15.75" customHeight="1" x14ac:dyDescent="0.25">
      <c r="C228" s="6"/>
    </row>
    <row r="229" spans="3:3" ht="15.75" customHeight="1" x14ac:dyDescent="0.25">
      <c r="C229" s="6"/>
    </row>
    <row r="230" spans="3:3" ht="15.75" customHeight="1" x14ac:dyDescent="0.25">
      <c r="C230" s="6"/>
    </row>
    <row r="231" spans="3:3" ht="15.75" customHeight="1" x14ac:dyDescent="0.25">
      <c r="C231" s="6"/>
    </row>
    <row r="232" spans="3:3" ht="15.75" customHeight="1" x14ac:dyDescent="0.25">
      <c r="C232" s="6"/>
    </row>
    <row r="233" spans="3:3" ht="15.75" customHeight="1" x14ac:dyDescent="0.25">
      <c r="C233" s="6"/>
    </row>
    <row r="234" spans="3:3" ht="15.75" customHeight="1" x14ac:dyDescent="0.25">
      <c r="C234" s="6"/>
    </row>
    <row r="235" spans="3:3" ht="15.75" customHeight="1" x14ac:dyDescent="0.25">
      <c r="C235" s="6"/>
    </row>
    <row r="236" spans="3:3" ht="15.75" customHeight="1" x14ac:dyDescent="0.25">
      <c r="C236" s="6"/>
    </row>
    <row r="237" spans="3:3" ht="15.75" customHeight="1" x14ac:dyDescent="0.25">
      <c r="C237" s="6"/>
    </row>
    <row r="238" spans="3:3" ht="15.75" customHeight="1" x14ac:dyDescent="0.25">
      <c r="C238" s="6"/>
    </row>
    <row r="239" spans="3:3" ht="15.75" customHeight="1" x14ac:dyDescent="0.25">
      <c r="C239" s="6"/>
    </row>
    <row r="240" spans="3:3" ht="15.75" customHeight="1" x14ac:dyDescent="0.25">
      <c r="C240" s="6"/>
    </row>
    <row r="241" spans="3:3" ht="15.75" customHeight="1" x14ac:dyDescent="0.25">
      <c r="C241" s="6"/>
    </row>
    <row r="242" spans="3:3" ht="15.75" customHeight="1" x14ac:dyDescent="0.25">
      <c r="C242" s="6"/>
    </row>
    <row r="243" spans="3:3" ht="15.75" customHeight="1" x14ac:dyDescent="0.25">
      <c r="C243" s="6"/>
    </row>
    <row r="244" spans="3:3" ht="15.75" customHeight="1" x14ac:dyDescent="0.25">
      <c r="C244" s="6"/>
    </row>
    <row r="245" spans="3:3" ht="15.75" customHeight="1" x14ac:dyDescent="0.25">
      <c r="C245" s="6"/>
    </row>
    <row r="246" spans="3:3" ht="15.75" customHeight="1" x14ac:dyDescent="0.25">
      <c r="C246" s="6"/>
    </row>
    <row r="247" spans="3:3" ht="15.75" customHeight="1" x14ac:dyDescent="0.25">
      <c r="C247" s="6"/>
    </row>
    <row r="248" spans="3:3" ht="15.75" customHeight="1" x14ac:dyDescent="0.25">
      <c r="C248" s="6"/>
    </row>
    <row r="249" spans="3:3" ht="15.75" customHeight="1" x14ac:dyDescent="0.25">
      <c r="C249" s="6"/>
    </row>
    <row r="250" spans="3:3" ht="15.75" customHeight="1" x14ac:dyDescent="0.25">
      <c r="C250" s="6"/>
    </row>
    <row r="251" spans="3:3" ht="15.75" customHeight="1" x14ac:dyDescent="0.25">
      <c r="C251" s="6"/>
    </row>
    <row r="252" spans="3:3" ht="15.75" customHeight="1" x14ac:dyDescent="0.25">
      <c r="C252" s="6"/>
    </row>
    <row r="253" spans="3:3" ht="15.75" customHeight="1" x14ac:dyDescent="0.25">
      <c r="C253" s="6"/>
    </row>
    <row r="254" spans="3:3" ht="15.75" customHeight="1" x14ac:dyDescent="0.25">
      <c r="C254" s="6"/>
    </row>
    <row r="255" spans="3:3" ht="15.75" customHeight="1" x14ac:dyDescent="0.25">
      <c r="C255" s="6"/>
    </row>
    <row r="256" spans="3:3" ht="15.75" customHeight="1" x14ac:dyDescent="0.25">
      <c r="C256" s="6"/>
    </row>
    <row r="257" spans="3:3" ht="15.75" customHeight="1" x14ac:dyDescent="0.25">
      <c r="C257" s="6"/>
    </row>
    <row r="258" spans="3:3" ht="15.75" customHeight="1" x14ac:dyDescent="0.25">
      <c r="C258" s="6"/>
    </row>
    <row r="259" spans="3:3" ht="15.75" customHeight="1" x14ac:dyDescent="0.25">
      <c r="C259" s="6"/>
    </row>
    <row r="260" spans="3:3" ht="15.75" customHeight="1" x14ac:dyDescent="0.25">
      <c r="C260" s="6"/>
    </row>
    <row r="261" spans="3:3" ht="15.75" customHeight="1" x14ac:dyDescent="0.25">
      <c r="C261" s="6"/>
    </row>
    <row r="262" spans="3:3" ht="15.75" customHeight="1" x14ac:dyDescent="0.25">
      <c r="C262" s="6"/>
    </row>
    <row r="263" spans="3:3" ht="15.75" customHeight="1" x14ac:dyDescent="0.25">
      <c r="C263" s="6"/>
    </row>
    <row r="264" spans="3:3" ht="15.75" customHeight="1" x14ac:dyDescent="0.25">
      <c r="C264" s="6"/>
    </row>
    <row r="265" spans="3:3" ht="15.75" customHeight="1" x14ac:dyDescent="0.25">
      <c r="C265" s="6"/>
    </row>
    <row r="266" spans="3:3" ht="15.75" customHeight="1" x14ac:dyDescent="0.25">
      <c r="C266" s="6"/>
    </row>
    <row r="267" spans="3:3" ht="15.75" customHeight="1" x14ac:dyDescent="0.25">
      <c r="C267" s="6"/>
    </row>
    <row r="268" spans="3:3" ht="15.75" customHeight="1" x14ac:dyDescent="0.25">
      <c r="C268" s="6"/>
    </row>
    <row r="269" spans="3:3" ht="15.75" customHeight="1" x14ac:dyDescent="0.25">
      <c r="C269" s="6"/>
    </row>
    <row r="270" spans="3:3" ht="15.75" customHeight="1" x14ac:dyDescent="0.25">
      <c r="C270" s="6"/>
    </row>
    <row r="271" spans="3:3" ht="15.75" customHeight="1" x14ac:dyDescent="0.25">
      <c r="C271" s="6"/>
    </row>
    <row r="272" spans="3:3" ht="15.75" customHeight="1" x14ac:dyDescent="0.25">
      <c r="C272" s="6"/>
    </row>
    <row r="273" spans="3:3" ht="15.75" customHeight="1" x14ac:dyDescent="0.25">
      <c r="C273" s="6"/>
    </row>
    <row r="274" spans="3:3" ht="15.75" customHeight="1" x14ac:dyDescent="0.25">
      <c r="C274" s="6"/>
    </row>
    <row r="275" spans="3:3" ht="15.75" customHeight="1" x14ac:dyDescent="0.25">
      <c r="C275" s="6"/>
    </row>
    <row r="276" spans="3:3" ht="15.75" customHeight="1" x14ac:dyDescent="0.25">
      <c r="C276" s="6"/>
    </row>
    <row r="277" spans="3:3" ht="15.75" customHeight="1" x14ac:dyDescent="0.25">
      <c r="C277" s="6"/>
    </row>
    <row r="278" spans="3:3" ht="15.75" customHeight="1" x14ac:dyDescent="0.25">
      <c r="C278" s="6"/>
    </row>
    <row r="279" spans="3:3" ht="15.75" customHeight="1" x14ac:dyDescent="0.25">
      <c r="C279" s="6"/>
    </row>
    <row r="280" spans="3:3" ht="15.75" customHeight="1" x14ac:dyDescent="0.25">
      <c r="C280" s="6"/>
    </row>
    <row r="281" spans="3:3" ht="15.75" customHeight="1" x14ac:dyDescent="0.25">
      <c r="C281" s="6"/>
    </row>
    <row r="282" spans="3:3" ht="15.75" customHeight="1" x14ac:dyDescent="0.25">
      <c r="C282" s="6"/>
    </row>
    <row r="283" spans="3:3" ht="15.75" customHeight="1" x14ac:dyDescent="0.25">
      <c r="C283" s="6"/>
    </row>
    <row r="284" spans="3:3" ht="15.75" customHeight="1" x14ac:dyDescent="0.25">
      <c r="C284" s="6"/>
    </row>
    <row r="285" spans="3:3" ht="15.75" customHeight="1" x14ac:dyDescent="0.25">
      <c r="C285" s="6"/>
    </row>
    <row r="286" spans="3:3" ht="15.75" customHeight="1" x14ac:dyDescent="0.25">
      <c r="C286" s="6"/>
    </row>
    <row r="287" spans="3:3" ht="15.75" customHeight="1" x14ac:dyDescent="0.25">
      <c r="C287" s="6"/>
    </row>
    <row r="288" spans="3:3" ht="15.75" customHeight="1" x14ac:dyDescent="0.25">
      <c r="C288" s="6"/>
    </row>
    <row r="289" spans="3:3" ht="15.75" customHeight="1" x14ac:dyDescent="0.25">
      <c r="C289" s="6"/>
    </row>
    <row r="290" spans="3:3" ht="15.75" customHeight="1" x14ac:dyDescent="0.25">
      <c r="C290" s="6"/>
    </row>
    <row r="291" spans="3:3" ht="15.75" customHeight="1" x14ac:dyDescent="0.25">
      <c r="C291" s="6"/>
    </row>
    <row r="292" spans="3:3" ht="15.75" customHeight="1" x14ac:dyDescent="0.25">
      <c r="C292" s="6"/>
    </row>
    <row r="293" spans="3:3" ht="15.75" customHeight="1" x14ac:dyDescent="0.25">
      <c r="C293" s="6"/>
    </row>
    <row r="294" spans="3:3" ht="15.75" customHeight="1" x14ac:dyDescent="0.25">
      <c r="C294" s="6"/>
    </row>
    <row r="295" spans="3:3" ht="15.75" customHeight="1" x14ac:dyDescent="0.25">
      <c r="C295" s="6"/>
    </row>
    <row r="296" spans="3:3" ht="15.75" customHeight="1" x14ac:dyDescent="0.25">
      <c r="C296" s="6"/>
    </row>
    <row r="297" spans="3:3" ht="15.75" customHeight="1" x14ac:dyDescent="0.25">
      <c r="C297" s="6"/>
    </row>
    <row r="298" spans="3:3" ht="15.75" customHeight="1" x14ac:dyDescent="0.25">
      <c r="C298" s="6"/>
    </row>
    <row r="299" spans="3:3" ht="15.75" customHeight="1" x14ac:dyDescent="0.25">
      <c r="C299" s="6"/>
    </row>
    <row r="300" spans="3:3" ht="15.75" customHeight="1" x14ac:dyDescent="0.25">
      <c r="C300" s="6"/>
    </row>
    <row r="301" spans="3:3" ht="15.75" customHeight="1" x14ac:dyDescent="0.25">
      <c r="C301" s="6"/>
    </row>
    <row r="302" spans="3:3" ht="15.75" customHeight="1" x14ac:dyDescent="0.25">
      <c r="C302" s="6"/>
    </row>
    <row r="303" spans="3:3" ht="15.75" customHeight="1" x14ac:dyDescent="0.25">
      <c r="C303" s="6"/>
    </row>
    <row r="304" spans="3:3" ht="15.75" customHeight="1" x14ac:dyDescent="0.25">
      <c r="C304" s="6"/>
    </row>
    <row r="305" spans="3:3" ht="15.75" customHeight="1" x14ac:dyDescent="0.25">
      <c r="C305" s="6"/>
    </row>
    <row r="306" spans="3:3" ht="15.75" customHeight="1" x14ac:dyDescent="0.25">
      <c r="C306" s="6"/>
    </row>
    <row r="307" spans="3:3" ht="15.75" customHeight="1" x14ac:dyDescent="0.25">
      <c r="C307" s="6"/>
    </row>
    <row r="308" spans="3:3" ht="15.75" customHeight="1" x14ac:dyDescent="0.25">
      <c r="C308" s="6"/>
    </row>
    <row r="309" spans="3:3" ht="15.75" customHeight="1" x14ac:dyDescent="0.25">
      <c r="C309" s="6"/>
    </row>
    <row r="310" spans="3:3" ht="15.75" customHeight="1" x14ac:dyDescent="0.25">
      <c r="C310" s="6"/>
    </row>
    <row r="311" spans="3:3" ht="15.75" customHeight="1" x14ac:dyDescent="0.25">
      <c r="C311" s="6"/>
    </row>
    <row r="312" spans="3:3" ht="15.75" customHeight="1" x14ac:dyDescent="0.25">
      <c r="C312" s="6"/>
    </row>
    <row r="313" spans="3:3" ht="15.75" customHeight="1" x14ac:dyDescent="0.25">
      <c r="C313" s="6"/>
    </row>
    <row r="314" spans="3:3" ht="15.75" customHeight="1" x14ac:dyDescent="0.25">
      <c r="C314" s="6"/>
    </row>
    <row r="315" spans="3:3" ht="15.75" customHeight="1" x14ac:dyDescent="0.25">
      <c r="C315" s="6"/>
    </row>
    <row r="316" spans="3:3" ht="15.75" customHeight="1" x14ac:dyDescent="0.25">
      <c r="C316" s="6"/>
    </row>
    <row r="317" spans="3:3" ht="15.75" customHeight="1" x14ac:dyDescent="0.25">
      <c r="C317" s="6"/>
    </row>
    <row r="318" spans="3:3" ht="15.75" customHeight="1" x14ac:dyDescent="0.25">
      <c r="C318" s="6"/>
    </row>
    <row r="319" spans="3:3" ht="15.75" customHeight="1" x14ac:dyDescent="0.25">
      <c r="C319" s="6"/>
    </row>
    <row r="320" spans="3:3" ht="15.75" customHeight="1" x14ac:dyDescent="0.25">
      <c r="C320" s="6"/>
    </row>
    <row r="321" spans="3:3" ht="15.75" customHeight="1" x14ac:dyDescent="0.25">
      <c r="C321" s="6"/>
    </row>
    <row r="322" spans="3:3" ht="15.75" customHeight="1" x14ac:dyDescent="0.25">
      <c r="C322" s="6"/>
    </row>
    <row r="323" spans="3:3" ht="15.75" customHeight="1" x14ac:dyDescent="0.25">
      <c r="C323" s="6"/>
    </row>
    <row r="324" spans="3:3" ht="15.75" customHeight="1" x14ac:dyDescent="0.25">
      <c r="C324" s="6"/>
    </row>
    <row r="325" spans="3:3" ht="15.75" customHeight="1" x14ac:dyDescent="0.25">
      <c r="C325" s="6"/>
    </row>
    <row r="326" spans="3:3" ht="15.75" customHeight="1" x14ac:dyDescent="0.25">
      <c r="C326" s="6"/>
    </row>
    <row r="327" spans="3:3" ht="15.75" customHeight="1" x14ac:dyDescent="0.25">
      <c r="C327" s="6"/>
    </row>
    <row r="328" spans="3:3" ht="15.75" customHeight="1" x14ac:dyDescent="0.25">
      <c r="C328" s="6"/>
    </row>
    <row r="329" spans="3:3" ht="15.75" customHeight="1" x14ac:dyDescent="0.25">
      <c r="C329" s="6"/>
    </row>
    <row r="330" spans="3:3" ht="15.75" customHeight="1" x14ac:dyDescent="0.25">
      <c r="C330" s="6"/>
    </row>
    <row r="331" spans="3:3" ht="15.75" customHeight="1" x14ac:dyDescent="0.25">
      <c r="C331" s="6"/>
    </row>
    <row r="332" spans="3:3" ht="15.75" customHeight="1" x14ac:dyDescent="0.25">
      <c r="C332" s="6"/>
    </row>
    <row r="333" spans="3:3" ht="15.75" customHeight="1" x14ac:dyDescent="0.25">
      <c r="C333" s="6"/>
    </row>
    <row r="334" spans="3:3" ht="15.75" customHeight="1" x14ac:dyDescent="0.25">
      <c r="C334" s="6"/>
    </row>
    <row r="335" spans="3:3" ht="15.75" customHeight="1" x14ac:dyDescent="0.25">
      <c r="C335" s="6"/>
    </row>
    <row r="336" spans="3:3" ht="15.75" customHeight="1" x14ac:dyDescent="0.25">
      <c r="C336" s="6"/>
    </row>
    <row r="337" spans="3:3" ht="15.75" customHeight="1" x14ac:dyDescent="0.25">
      <c r="C337" s="6"/>
    </row>
    <row r="338" spans="3:3" ht="15.75" customHeight="1" x14ac:dyDescent="0.25">
      <c r="C338" s="6"/>
    </row>
    <row r="339" spans="3:3" ht="15.75" customHeight="1" x14ac:dyDescent="0.25">
      <c r="C339" s="6"/>
    </row>
    <row r="340" spans="3:3" ht="15.75" customHeight="1" x14ac:dyDescent="0.25">
      <c r="C340" s="6"/>
    </row>
    <row r="341" spans="3:3" ht="15.75" customHeight="1" x14ac:dyDescent="0.25">
      <c r="C341" s="6"/>
    </row>
    <row r="342" spans="3:3" ht="15.75" customHeight="1" x14ac:dyDescent="0.25">
      <c r="C342" s="6"/>
    </row>
    <row r="343" spans="3:3" ht="15.75" customHeight="1" x14ac:dyDescent="0.25">
      <c r="C343" s="6"/>
    </row>
    <row r="344" spans="3:3" ht="15.75" customHeight="1" x14ac:dyDescent="0.25">
      <c r="C344" s="6"/>
    </row>
    <row r="345" spans="3:3" ht="15.75" customHeight="1" x14ac:dyDescent="0.25">
      <c r="C345" s="6"/>
    </row>
    <row r="346" spans="3:3" ht="15.75" customHeight="1" x14ac:dyDescent="0.25">
      <c r="C346" s="6"/>
    </row>
    <row r="347" spans="3:3" ht="15.75" customHeight="1" x14ac:dyDescent="0.25">
      <c r="C347" s="6"/>
    </row>
    <row r="348" spans="3:3" ht="15.75" customHeight="1" x14ac:dyDescent="0.25">
      <c r="C348" s="6"/>
    </row>
    <row r="349" spans="3:3" ht="15.75" customHeight="1" x14ac:dyDescent="0.25">
      <c r="C349" s="6"/>
    </row>
    <row r="350" spans="3:3" ht="15.75" customHeight="1" x14ac:dyDescent="0.25">
      <c r="C350" s="6"/>
    </row>
    <row r="351" spans="3:3" ht="15.75" customHeight="1" x14ac:dyDescent="0.25">
      <c r="C351" s="6"/>
    </row>
    <row r="352" spans="3:3" ht="15.75" customHeight="1" x14ac:dyDescent="0.25">
      <c r="C352" s="6"/>
    </row>
    <row r="353" spans="3:3" ht="15.75" customHeight="1" x14ac:dyDescent="0.25">
      <c r="C353" s="6"/>
    </row>
    <row r="354" spans="3:3" ht="15.75" customHeight="1" x14ac:dyDescent="0.25">
      <c r="C354" s="6"/>
    </row>
    <row r="355" spans="3:3" ht="15.75" customHeight="1" x14ac:dyDescent="0.25">
      <c r="C355" s="6"/>
    </row>
    <row r="356" spans="3:3" ht="15.75" customHeight="1" x14ac:dyDescent="0.25">
      <c r="C356" s="6"/>
    </row>
    <row r="357" spans="3:3" ht="15.75" customHeight="1" x14ac:dyDescent="0.25">
      <c r="C357" s="6"/>
    </row>
    <row r="358" spans="3:3" ht="15.75" customHeight="1" x14ac:dyDescent="0.25">
      <c r="C358" s="6"/>
    </row>
    <row r="359" spans="3:3" ht="15.75" customHeight="1" x14ac:dyDescent="0.25">
      <c r="C359" s="6"/>
    </row>
    <row r="360" spans="3:3" ht="15.75" customHeight="1" x14ac:dyDescent="0.25">
      <c r="C360" s="6"/>
    </row>
    <row r="361" spans="3:3" ht="15.75" customHeight="1" x14ac:dyDescent="0.25">
      <c r="C361" s="6"/>
    </row>
    <row r="362" spans="3:3" ht="15.75" customHeight="1" x14ac:dyDescent="0.25">
      <c r="C362" s="6"/>
    </row>
    <row r="363" spans="3:3" ht="15.75" customHeight="1" x14ac:dyDescent="0.25">
      <c r="C363" s="6"/>
    </row>
    <row r="364" spans="3:3" ht="15.75" customHeight="1" x14ac:dyDescent="0.25">
      <c r="C364" s="6"/>
    </row>
    <row r="365" spans="3:3" ht="15.75" customHeight="1" x14ac:dyDescent="0.25">
      <c r="C365" s="6"/>
    </row>
    <row r="366" spans="3:3" ht="15.75" customHeight="1" x14ac:dyDescent="0.25">
      <c r="C366" s="6"/>
    </row>
    <row r="367" spans="3:3" ht="15.75" customHeight="1" x14ac:dyDescent="0.25">
      <c r="C367" s="6"/>
    </row>
    <row r="368" spans="3:3" ht="15.75" customHeight="1" x14ac:dyDescent="0.25">
      <c r="C368" s="6"/>
    </row>
    <row r="369" spans="3:3" ht="15.75" customHeight="1" x14ac:dyDescent="0.25">
      <c r="C369" s="6"/>
    </row>
    <row r="370" spans="3:3" ht="15.75" customHeight="1" x14ac:dyDescent="0.25">
      <c r="C370" s="6"/>
    </row>
    <row r="371" spans="3:3" ht="15.75" customHeight="1" x14ac:dyDescent="0.25">
      <c r="C371" s="6"/>
    </row>
    <row r="372" spans="3:3" ht="15.75" customHeight="1" x14ac:dyDescent="0.25">
      <c r="C372" s="6"/>
    </row>
    <row r="373" spans="3:3" ht="15.75" customHeight="1" x14ac:dyDescent="0.25">
      <c r="C373" s="6"/>
    </row>
    <row r="374" spans="3:3" ht="15.75" customHeight="1" x14ac:dyDescent="0.25">
      <c r="C374" s="6"/>
    </row>
    <row r="375" spans="3:3" ht="15.75" customHeight="1" x14ac:dyDescent="0.25">
      <c r="C375" s="6"/>
    </row>
    <row r="376" spans="3:3" ht="15.75" customHeight="1" x14ac:dyDescent="0.25">
      <c r="C376" s="6"/>
    </row>
    <row r="377" spans="3:3" ht="15.75" customHeight="1" x14ac:dyDescent="0.25">
      <c r="C377" s="6"/>
    </row>
    <row r="378" spans="3:3" ht="15.75" customHeight="1" x14ac:dyDescent="0.25">
      <c r="C378" s="6"/>
    </row>
    <row r="379" spans="3:3" ht="15.75" customHeight="1" x14ac:dyDescent="0.25">
      <c r="C379" s="6"/>
    </row>
    <row r="380" spans="3:3" ht="15.75" customHeight="1" x14ac:dyDescent="0.25">
      <c r="C380" s="6"/>
    </row>
    <row r="381" spans="3:3" ht="15.75" customHeight="1" x14ac:dyDescent="0.25">
      <c r="C381" s="6"/>
    </row>
    <row r="382" spans="3:3" ht="15.75" customHeight="1" x14ac:dyDescent="0.25">
      <c r="C382" s="6"/>
    </row>
    <row r="383" spans="3:3" ht="15.75" customHeight="1" x14ac:dyDescent="0.25">
      <c r="C383" s="6"/>
    </row>
    <row r="384" spans="3:3" ht="15.75" customHeight="1" x14ac:dyDescent="0.25">
      <c r="C384" s="6"/>
    </row>
    <row r="385" spans="3:3" ht="15.75" customHeight="1" x14ac:dyDescent="0.25">
      <c r="C385" s="6"/>
    </row>
    <row r="386" spans="3:3" ht="15.75" customHeight="1" x14ac:dyDescent="0.25">
      <c r="C386" s="6"/>
    </row>
    <row r="387" spans="3:3" ht="15.75" customHeight="1" x14ac:dyDescent="0.25">
      <c r="C387" s="6"/>
    </row>
    <row r="388" spans="3:3" ht="15.75" customHeight="1" x14ac:dyDescent="0.25">
      <c r="C388" s="6"/>
    </row>
    <row r="389" spans="3:3" ht="15.75" customHeight="1" x14ac:dyDescent="0.25">
      <c r="C389" s="6"/>
    </row>
    <row r="390" spans="3:3" ht="15.75" customHeight="1" x14ac:dyDescent="0.25">
      <c r="C390" s="6"/>
    </row>
    <row r="391" spans="3:3" ht="15.75" customHeight="1" x14ac:dyDescent="0.25">
      <c r="C391" s="6"/>
    </row>
    <row r="392" spans="3:3" ht="15.75" customHeight="1" x14ac:dyDescent="0.25">
      <c r="C392" s="6"/>
    </row>
    <row r="393" spans="3:3" ht="15.75" customHeight="1" x14ac:dyDescent="0.25">
      <c r="C393" s="6"/>
    </row>
    <row r="394" spans="3:3" ht="15.75" customHeight="1" x14ac:dyDescent="0.25">
      <c r="C394" s="6"/>
    </row>
    <row r="395" spans="3:3" ht="15.75" customHeight="1" x14ac:dyDescent="0.25">
      <c r="C395" s="6"/>
    </row>
    <row r="396" spans="3:3" ht="15.75" customHeight="1" x14ac:dyDescent="0.25">
      <c r="C396" s="6"/>
    </row>
    <row r="397" spans="3:3" ht="15.75" customHeight="1" x14ac:dyDescent="0.25">
      <c r="C397" s="6"/>
    </row>
    <row r="398" spans="3:3" ht="15.75" customHeight="1" x14ac:dyDescent="0.25">
      <c r="C398" s="6"/>
    </row>
    <row r="399" spans="3:3" ht="15.75" customHeight="1" x14ac:dyDescent="0.25">
      <c r="C399" s="6"/>
    </row>
    <row r="400" spans="3:3" ht="15.75" customHeight="1" x14ac:dyDescent="0.25">
      <c r="C400" s="6"/>
    </row>
    <row r="401" spans="3:3" ht="15.75" customHeight="1" x14ac:dyDescent="0.25">
      <c r="C401" s="6"/>
    </row>
    <row r="402" spans="3:3" ht="15.75" customHeight="1" x14ac:dyDescent="0.25">
      <c r="C402" s="6"/>
    </row>
    <row r="403" spans="3:3" ht="15.75" customHeight="1" x14ac:dyDescent="0.25">
      <c r="C403" s="6"/>
    </row>
    <row r="404" spans="3:3" ht="15.75" customHeight="1" x14ac:dyDescent="0.25">
      <c r="C404" s="6"/>
    </row>
    <row r="405" spans="3:3" ht="15.75" customHeight="1" x14ac:dyDescent="0.25">
      <c r="C405" s="6"/>
    </row>
    <row r="406" spans="3:3" ht="15.75" customHeight="1" x14ac:dyDescent="0.25">
      <c r="C406" s="6"/>
    </row>
    <row r="407" spans="3:3" ht="15.75" customHeight="1" x14ac:dyDescent="0.25">
      <c r="C407" s="6"/>
    </row>
    <row r="408" spans="3:3" ht="15.75" customHeight="1" x14ac:dyDescent="0.25">
      <c r="C408" s="6"/>
    </row>
    <row r="409" spans="3:3" ht="15.75" customHeight="1" x14ac:dyDescent="0.25">
      <c r="C409" s="6"/>
    </row>
    <row r="410" spans="3:3" ht="15.75" customHeight="1" x14ac:dyDescent="0.25">
      <c r="C410" s="6"/>
    </row>
    <row r="411" spans="3:3" ht="15.75" customHeight="1" x14ac:dyDescent="0.25">
      <c r="C411" s="6"/>
    </row>
    <row r="412" spans="3:3" ht="15.75" customHeight="1" x14ac:dyDescent="0.25">
      <c r="C412" s="6"/>
    </row>
    <row r="413" spans="3:3" ht="15.75" customHeight="1" x14ac:dyDescent="0.25">
      <c r="C413" s="6"/>
    </row>
    <row r="414" spans="3:3" ht="15.75" customHeight="1" x14ac:dyDescent="0.25">
      <c r="C414" s="6"/>
    </row>
    <row r="415" spans="3:3" ht="15.75" customHeight="1" x14ac:dyDescent="0.25">
      <c r="C415" s="6"/>
    </row>
    <row r="416" spans="3:3" ht="15.75" customHeight="1" x14ac:dyDescent="0.25">
      <c r="C416" s="6"/>
    </row>
    <row r="417" spans="3:3" ht="15.75" customHeight="1" x14ac:dyDescent="0.25">
      <c r="C417" s="6"/>
    </row>
    <row r="418" spans="3:3" ht="15.75" customHeight="1" x14ac:dyDescent="0.25">
      <c r="C418" s="6"/>
    </row>
    <row r="419" spans="3:3" ht="15.75" customHeight="1" x14ac:dyDescent="0.25">
      <c r="C419" s="6"/>
    </row>
    <row r="420" spans="3:3" ht="15.75" customHeight="1" x14ac:dyDescent="0.25">
      <c r="C420" s="6"/>
    </row>
    <row r="421" spans="3:3" ht="15.75" customHeight="1" x14ac:dyDescent="0.25">
      <c r="C421" s="6"/>
    </row>
    <row r="422" spans="3:3" ht="15.75" customHeight="1" x14ac:dyDescent="0.25">
      <c r="C422" s="6"/>
    </row>
    <row r="423" spans="3:3" ht="15.75" customHeight="1" x14ac:dyDescent="0.25">
      <c r="C423" s="6"/>
    </row>
    <row r="424" spans="3:3" ht="15.75" customHeight="1" x14ac:dyDescent="0.25">
      <c r="C424" s="6"/>
    </row>
    <row r="425" spans="3:3" ht="15.75" customHeight="1" x14ac:dyDescent="0.25">
      <c r="C425" s="6"/>
    </row>
    <row r="426" spans="3:3" ht="15.75" customHeight="1" x14ac:dyDescent="0.25">
      <c r="C426" s="6"/>
    </row>
    <row r="427" spans="3:3" ht="15.75" customHeight="1" x14ac:dyDescent="0.25">
      <c r="C427" s="6"/>
    </row>
    <row r="428" spans="3:3" ht="15.75" customHeight="1" x14ac:dyDescent="0.25">
      <c r="C428" s="6"/>
    </row>
    <row r="429" spans="3:3" ht="15.75" customHeight="1" x14ac:dyDescent="0.25">
      <c r="C429" s="6"/>
    </row>
    <row r="430" spans="3:3" ht="15.75" customHeight="1" x14ac:dyDescent="0.25">
      <c r="C430" s="6"/>
    </row>
    <row r="431" spans="3:3" ht="15.75" customHeight="1" x14ac:dyDescent="0.25">
      <c r="C431" s="6"/>
    </row>
    <row r="432" spans="3:3" ht="15.75" customHeight="1" x14ac:dyDescent="0.25">
      <c r="C432" s="6"/>
    </row>
    <row r="433" spans="3:3" ht="15.75" customHeight="1" x14ac:dyDescent="0.25">
      <c r="C433" s="6"/>
    </row>
    <row r="434" spans="3:3" ht="15.75" customHeight="1" x14ac:dyDescent="0.25">
      <c r="C434" s="6"/>
    </row>
    <row r="435" spans="3:3" ht="15.75" customHeight="1" x14ac:dyDescent="0.25">
      <c r="C435" s="6"/>
    </row>
    <row r="436" spans="3:3" ht="15.75" customHeight="1" x14ac:dyDescent="0.25">
      <c r="C436" s="6"/>
    </row>
    <row r="437" spans="3:3" ht="15.75" customHeight="1" x14ac:dyDescent="0.25">
      <c r="C437" s="6"/>
    </row>
    <row r="438" spans="3:3" ht="15.75" customHeight="1" x14ac:dyDescent="0.25">
      <c r="C438" s="6"/>
    </row>
    <row r="439" spans="3:3" ht="15.75" customHeight="1" x14ac:dyDescent="0.25">
      <c r="C439" s="6"/>
    </row>
    <row r="440" spans="3:3" ht="15.75" customHeight="1" x14ac:dyDescent="0.25">
      <c r="C440" s="6"/>
    </row>
    <row r="441" spans="3:3" ht="15.75" customHeight="1" x14ac:dyDescent="0.25">
      <c r="C441" s="6"/>
    </row>
    <row r="442" spans="3:3" ht="15.75" customHeight="1" x14ac:dyDescent="0.25">
      <c r="C442" s="6"/>
    </row>
    <row r="443" spans="3:3" ht="15.75" customHeight="1" x14ac:dyDescent="0.25">
      <c r="C443" s="6"/>
    </row>
    <row r="444" spans="3:3" ht="15.75" customHeight="1" x14ac:dyDescent="0.25">
      <c r="C444" s="6"/>
    </row>
    <row r="445" spans="3:3" ht="15.75" customHeight="1" x14ac:dyDescent="0.25">
      <c r="C445" s="6"/>
    </row>
    <row r="446" spans="3:3" ht="15.75" customHeight="1" x14ac:dyDescent="0.25">
      <c r="C446" s="6"/>
    </row>
    <row r="447" spans="3:3" ht="15.75" customHeight="1" x14ac:dyDescent="0.25">
      <c r="C447" s="6"/>
    </row>
    <row r="448" spans="3:3" ht="15.75" customHeight="1" x14ac:dyDescent="0.25">
      <c r="C448" s="6"/>
    </row>
    <row r="449" spans="3:3" ht="15.75" customHeight="1" x14ac:dyDescent="0.25">
      <c r="C449" s="6"/>
    </row>
    <row r="450" spans="3:3" ht="15.75" customHeight="1" x14ac:dyDescent="0.25">
      <c r="C450" s="6"/>
    </row>
    <row r="451" spans="3:3" ht="15.75" customHeight="1" x14ac:dyDescent="0.25">
      <c r="C451" s="6"/>
    </row>
    <row r="452" spans="3:3" ht="15.75" customHeight="1" x14ac:dyDescent="0.25">
      <c r="C452" s="6"/>
    </row>
    <row r="453" spans="3:3" ht="15.75" customHeight="1" x14ac:dyDescent="0.25">
      <c r="C453" s="6"/>
    </row>
    <row r="454" spans="3:3" ht="15.75" customHeight="1" x14ac:dyDescent="0.25">
      <c r="C454" s="6"/>
    </row>
    <row r="455" spans="3:3" ht="15.75" customHeight="1" x14ac:dyDescent="0.25">
      <c r="C455" s="6"/>
    </row>
    <row r="456" spans="3:3" ht="15.75" customHeight="1" x14ac:dyDescent="0.25">
      <c r="C456" s="6"/>
    </row>
    <row r="457" spans="3:3" ht="15.75" customHeight="1" x14ac:dyDescent="0.25">
      <c r="C457" s="6"/>
    </row>
    <row r="458" spans="3:3" ht="15.75" customHeight="1" x14ac:dyDescent="0.25">
      <c r="C458" s="6"/>
    </row>
    <row r="459" spans="3:3" ht="15.75" customHeight="1" x14ac:dyDescent="0.25">
      <c r="C459" s="6"/>
    </row>
    <row r="460" spans="3:3" ht="15.75" customHeight="1" x14ac:dyDescent="0.25">
      <c r="C460" s="6"/>
    </row>
    <row r="461" spans="3:3" ht="15.75" customHeight="1" x14ac:dyDescent="0.25">
      <c r="C461" s="6"/>
    </row>
    <row r="462" spans="3:3" ht="15.75" customHeight="1" x14ac:dyDescent="0.25">
      <c r="C462" s="6"/>
    </row>
    <row r="463" spans="3:3" ht="15.75" customHeight="1" x14ac:dyDescent="0.25">
      <c r="C463" s="6"/>
    </row>
    <row r="464" spans="3:3" ht="15.75" customHeight="1" x14ac:dyDescent="0.25">
      <c r="C464" s="6"/>
    </row>
    <row r="465" spans="3:3" ht="15.75" customHeight="1" x14ac:dyDescent="0.25">
      <c r="C465" s="6"/>
    </row>
    <row r="466" spans="3:3" ht="15.75" customHeight="1" x14ac:dyDescent="0.25">
      <c r="C466" s="6"/>
    </row>
    <row r="467" spans="3:3" ht="15.75" customHeight="1" x14ac:dyDescent="0.25">
      <c r="C467" s="6"/>
    </row>
    <row r="468" spans="3:3" ht="15.75" customHeight="1" x14ac:dyDescent="0.25">
      <c r="C468" s="6"/>
    </row>
    <row r="469" spans="3:3" ht="15.75" customHeight="1" x14ac:dyDescent="0.25">
      <c r="C469" s="6"/>
    </row>
    <row r="470" spans="3:3" ht="15.75" customHeight="1" x14ac:dyDescent="0.25">
      <c r="C470" s="6"/>
    </row>
    <row r="471" spans="3:3" ht="15.75" customHeight="1" x14ac:dyDescent="0.25">
      <c r="C471" s="6"/>
    </row>
    <row r="472" spans="3:3" ht="15.75" customHeight="1" x14ac:dyDescent="0.25">
      <c r="C472" s="6"/>
    </row>
    <row r="473" spans="3:3" ht="15.75" customHeight="1" x14ac:dyDescent="0.25">
      <c r="C473" s="6"/>
    </row>
    <row r="474" spans="3:3" ht="15.75" customHeight="1" x14ac:dyDescent="0.25">
      <c r="C474" s="6"/>
    </row>
    <row r="475" spans="3:3" ht="15.75" customHeight="1" x14ac:dyDescent="0.25">
      <c r="C475" s="6"/>
    </row>
    <row r="476" spans="3:3" ht="15.75" customHeight="1" x14ac:dyDescent="0.25">
      <c r="C476" s="6"/>
    </row>
    <row r="477" spans="3:3" ht="15.75" customHeight="1" x14ac:dyDescent="0.25">
      <c r="C477" s="6"/>
    </row>
    <row r="478" spans="3:3" ht="15.75" customHeight="1" x14ac:dyDescent="0.25">
      <c r="C478" s="6"/>
    </row>
    <row r="479" spans="3:3" ht="15.75" customHeight="1" x14ac:dyDescent="0.25">
      <c r="C479" s="6"/>
    </row>
    <row r="480" spans="3:3" ht="15.75" customHeight="1" x14ac:dyDescent="0.25">
      <c r="C480" s="6"/>
    </row>
    <row r="481" spans="3:3" ht="15.75" customHeight="1" x14ac:dyDescent="0.25">
      <c r="C481" s="6"/>
    </row>
    <row r="482" spans="3:3" ht="15.75" customHeight="1" x14ac:dyDescent="0.25">
      <c r="C482" s="6"/>
    </row>
    <row r="483" spans="3:3" ht="15.75" customHeight="1" x14ac:dyDescent="0.25">
      <c r="C483" s="6"/>
    </row>
    <row r="484" spans="3:3" ht="15.75" customHeight="1" x14ac:dyDescent="0.25">
      <c r="C484" s="6"/>
    </row>
    <row r="485" spans="3:3" ht="15.75" customHeight="1" x14ac:dyDescent="0.25">
      <c r="C485" s="6"/>
    </row>
    <row r="486" spans="3:3" ht="15.75" customHeight="1" x14ac:dyDescent="0.25">
      <c r="C486" s="6"/>
    </row>
    <row r="487" spans="3:3" ht="15.75" customHeight="1" x14ac:dyDescent="0.25">
      <c r="C487" s="6"/>
    </row>
    <row r="488" spans="3:3" ht="15.75" customHeight="1" x14ac:dyDescent="0.25">
      <c r="C488" s="6"/>
    </row>
    <row r="489" spans="3:3" ht="15.75" customHeight="1" x14ac:dyDescent="0.25">
      <c r="C489" s="6"/>
    </row>
    <row r="490" spans="3:3" ht="15.75" customHeight="1" x14ac:dyDescent="0.25">
      <c r="C490" s="6"/>
    </row>
    <row r="491" spans="3:3" ht="15.75" customHeight="1" x14ac:dyDescent="0.25">
      <c r="C491" s="6"/>
    </row>
    <row r="492" spans="3:3" ht="15.75" customHeight="1" x14ac:dyDescent="0.25">
      <c r="C492" s="6"/>
    </row>
    <row r="493" spans="3:3" ht="15.75" customHeight="1" x14ac:dyDescent="0.25">
      <c r="C493" s="6"/>
    </row>
    <row r="494" spans="3:3" ht="15.75" customHeight="1" x14ac:dyDescent="0.25">
      <c r="C494" s="6"/>
    </row>
    <row r="495" spans="3:3" ht="15.75" customHeight="1" x14ac:dyDescent="0.25">
      <c r="C495" s="6"/>
    </row>
    <row r="496" spans="3:3" ht="15.75" customHeight="1" x14ac:dyDescent="0.25">
      <c r="C496" s="6"/>
    </row>
    <row r="497" spans="3:3" ht="15.75" customHeight="1" x14ac:dyDescent="0.25">
      <c r="C497" s="6"/>
    </row>
    <row r="498" spans="3:3" ht="15.75" customHeight="1" x14ac:dyDescent="0.25">
      <c r="C498" s="6"/>
    </row>
    <row r="499" spans="3:3" ht="15.75" customHeight="1" x14ac:dyDescent="0.25">
      <c r="C499" s="6"/>
    </row>
    <row r="500" spans="3:3" ht="15.75" customHeight="1" x14ac:dyDescent="0.25">
      <c r="C500" s="6"/>
    </row>
    <row r="501" spans="3:3" ht="15.75" customHeight="1" x14ac:dyDescent="0.25">
      <c r="C501" s="6"/>
    </row>
    <row r="502" spans="3:3" ht="15.75" customHeight="1" x14ac:dyDescent="0.25">
      <c r="C502" s="6"/>
    </row>
    <row r="503" spans="3:3" ht="15.75" customHeight="1" x14ac:dyDescent="0.25">
      <c r="C503" s="6"/>
    </row>
    <row r="504" spans="3:3" ht="15.75" customHeight="1" x14ac:dyDescent="0.25">
      <c r="C504" s="6"/>
    </row>
    <row r="505" spans="3:3" ht="15.75" customHeight="1" x14ac:dyDescent="0.25">
      <c r="C505" s="6"/>
    </row>
    <row r="506" spans="3:3" ht="15.75" customHeight="1" x14ac:dyDescent="0.25">
      <c r="C506" s="6"/>
    </row>
    <row r="507" spans="3:3" ht="15.75" customHeight="1" x14ac:dyDescent="0.25">
      <c r="C507" s="6"/>
    </row>
    <row r="508" spans="3:3" ht="15.75" customHeight="1" x14ac:dyDescent="0.25">
      <c r="C508" s="6"/>
    </row>
    <row r="509" spans="3:3" ht="15.75" customHeight="1" x14ac:dyDescent="0.25">
      <c r="C509" s="6"/>
    </row>
    <row r="510" spans="3:3" ht="15.75" customHeight="1" x14ac:dyDescent="0.25">
      <c r="C510" s="6"/>
    </row>
    <row r="511" spans="3:3" ht="15.75" customHeight="1" x14ac:dyDescent="0.25">
      <c r="C511" s="6"/>
    </row>
    <row r="512" spans="3:3" ht="15.75" customHeight="1" x14ac:dyDescent="0.25">
      <c r="C512" s="6"/>
    </row>
    <row r="513" spans="3:3" ht="15.75" customHeight="1" x14ac:dyDescent="0.25">
      <c r="C513" s="6"/>
    </row>
    <row r="514" spans="3:3" ht="15.75" customHeight="1" x14ac:dyDescent="0.25">
      <c r="C514" s="6"/>
    </row>
    <row r="515" spans="3:3" ht="15.75" customHeight="1" x14ac:dyDescent="0.25">
      <c r="C515" s="6"/>
    </row>
    <row r="516" spans="3:3" ht="15.75" customHeight="1" x14ac:dyDescent="0.25">
      <c r="C516" s="6"/>
    </row>
    <row r="517" spans="3:3" ht="15.75" customHeight="1" x14ac:dyDescent="0.25">
      <c r="C517" s="6"/>
    </row>
    <row r="518" spans="3:3" ht="15.75" customHeight="1" x14ac:dyDescent="0.25">
      <c r="C518" s="6"/>
    </row>
    <row r="519" spans="3:3" ht="15.75" customHeight="1" x14ac:dyDescent="0.25">
      <c r="C519" s="6"/>
    </row>
    <row r="520" spans="3:3" ht="15.75" customHeight="1" x14ac:dyDescent="0.25">
      <c r="C520" s="6"/>
    </row>
    <row r="521" spans="3:3" ht="15.75" customHeight="1" x14ac:dyDescent="0.25">
      <c r="C521" s="6"/>
    </row>
    <row r="522" spans="3:3" ht="15.75" customHeight="1" x14ac:dyDescent="0.25">
      <c r="C522" s="6"/>
    </row>
    <row r="523" spans="3:3" ht="15.75" customHeight="1" x14ac:dyDescent="0.25">
      <c r="C523" s="6"/>
    </row>
    <row r="524" spans="3:3" ht="15.75" customHeight="1" x14ac:dyDescent="0.25">
      <c r="C524" s="6"/>
    </row>
    <row r="525" spans="3:3" ht="15.75" customHeight="1" x14ac:dyDescent="0.25">
      <c r="C525" s="6"/>
    </row>
    <row r="526" spans="3:3" ht="15.75" customHeight="1" x14ac:dyDescent="0.25">
      <c r="C526" s="6"/>
    </row>
    <row r="527" spans="3:3" ht="15.75" customHeight="1" x14ac:dyDescent="0.25">
      <c r="C527" s="6"/>
    </row>
    <row r="528" spans="3:3" ht="15.75" customHeight="1" x14ac:dyDescent="0.25">
      <c r="C528" s="6"/>
    </row>
    <row r="529" spans="3:3" ht="15.75" customHeight="1" x14ac:dyDescent="0.25">
      <c r="C529" s="6"/>
    </row>
    <row r="530" spans="3:3" ht="15.75" customHeight="1" x14ac:dyDescent="0.25">
      <c r="C530" s="6"/>
    </row>
    <row r="531" spans="3:3" ht="15.75" customHeight="1" x14ac:dyDescent="0.25">
      <c r="C531" s="6"/>
    </row>
    <row r="532" spans="3:3" ht="15.75" customHeight="1" x14ac:dyDescent="0.25">
      <c r="C532" s="6"/>
    </row>
    <row r="533" spans="3:3" ht="15.75" customHeight="1" x14ac:dyDescent="0.25">
      <c r="C533" s="6"/>
    </row>
    <row r="534" spans="3:3" ht="15.75" customHeight="1" x14ac:dyDescent="0.25">
      <c r="C534" s="6"/>
    </row>
    <row r="535" spans="3:3" ht="15.75" customHeight="1" x14ac:dyDescent="0.25">
      <c r="C535" s="6"/>
    </row>
    <row r="536" spans="3:3" ht="15.75" customHeight="1" x14ac:dyDescent="0.25">
      <c r="C536" s="6"/>
    </row>
    <row r="537" spans="3:3" ht="15.75" customHeight="1" x14ac:dyDescent="0.25">
      <c r="C537" s="6"/>
    </row>
    <row r="538" spans="3:3" ht="15.75" customHeight="1" x14ac:dyDescent="0.25">
      <c r="C538" s="6"/>
    </row>
    <row r="539" spans="3:3" ht="15.75" customHeight="1" x14ac:dyDescent="0.25">
      <c r="C539" s="6"/>
    </row>
    <row r="540" spans="3:3" ht="15.75" customHeight="1" x14ac:dyDescent="0.25">
      <c r="C540" s="6"/>
    </row>
    <row r="541" spans="3:3" ht="15.75" customHeight="1" x14ac:dyDescent="0.25">
      <c r="C541" s="6"/>
    </row>
    <row r="542" spans="3:3" ht="15.75" customHeight="1" x14ac:dyDescent="0.25">
      <c r="C542" s="6"/>
    </row>
    <row r="543" spans="3:3" ht="15.75" customHeight="1" x14ac:dyDescent="0.25">
      <c r="C543" s="6"/>
    </row>
    <row r="544" spans="3:3" ht="15.75" customHeight="1" x14ac:dyDescent="0.25">
      <c r="C544" s="6"/>
    </row>
    <row r="545" spans="3:3" ht="15.75" customHeight="1" x14ac:dyDescent="0.25">
      <c r="C545" s="6"/>
    </row>
    <row r="546" spans="3:3" ht="15.75" customHeight="1" x14ac:dyDescent="0.25">
      <c r="C546" s="6"/>
    </row>
    <row r="547" spans="3:3" ht="15.75" customHeight="1" x14ac:dyDescent="0.25">
      <c r="C547" s="6"/>
    </row>
    <row r="548" spans="3:3" ht="15.75" customHeight="1" x14ac:dyDescent="0.25">
      <c r="C548" s="6"/>
    </row>
    <row r="549" spans="3:3" ht="15.75" customHeight="1" x14ac:dyDescent="0.25">
      <c r="C549" s="6"/>
    </row>
    <row r="550" spans="3:3" ht="15.75" customHeight="1" x14ac:dyDescent="0.25">
      <c r="C550" s="6"/>
    </row>
    <row r="551" spans="3:3" ht="15.75" customHeight="1" x14ac:dyDescent="0.25">
      <c r="C551" s="6"/>
    </row>
    <row r="552" spans="3:3" ht="15.75" customHeight="1" x14ac:dyDescent="0.25">
      <c r="C552" s="6"/>
    </row>
    <row r="553" spans="3:3" ht="15.75" customHeight="1" x14ac:dyDescent="0.25">
      <c r="C553" s="6"/>
    </row>
    <row r="554" spans="3:3" ht="15.75" customHeight="1" x14ac:dyDescent="0.25">
      <c r="C554" s="6"/>
    </row>
    <row r="555" spans="3:3" ht="15.75" customHeight="1" x14ac:dyDescent="0.25">
      <c r="C555" s="6"/>
    </row>
    <row r="556" spans="3:3" ht="15.75" customHeight="1" x14ac:dyDescent="0.25">
      <c r="C556" s="6"/>
    </row>
    <row r="557" spans="3:3" ht="15.75" customHeight="1" x14ac:dyDescent="0.25">
      <c r="C557" s="6"/>
    </row>
    <row r="558" spans="3:3" ht="15.75" customHeight="1" x14ac:dyDescent="0.25">
      <c r="C558" s="6"/>
    </row>
    <row r="559" spans="3:3" ht="15.75" customHeight="1" x14ac:dyDescent="0.25">
      <c r="C559" s="6"/>
    </row>
    <row r="560" spans="3:3" ht="15.75" customHeight="1" x14ac:dyDescent="0.25">
      <c r="C560" s="6"/>
    </row>
    <row r="561" spans="3:3" ht="15.75" customHeight="1" x14ac:dyDescent="0.25">
      <c r="C561" s="6"/>
    </row>
    <row r="562" spans="3:3" ht="15.75" customHeight="1" x14ac:dyDescent="0.25">
      <c r="C562" s="6"/>
    </row>
    <row r="563" spans="3:3" ht="15.75" customHeight="1" x14ac:dyDescent="0.25">
      <c r="C563" s="6"/>
    </row>
    <row r="564" spans="3:3" ht="15.75" customHeight="1" x14ac:dyDescent="0.25">
      <c r="C564" s="6"/>
    </row>
    <row r="565" spans="3:3" ht="15.75" customHeight="1" x14ac:dyDescent="0.25">
      <c r="C565" s="6"/>
    </row>
    <row r="566" spans="3:3" ht="15.75" customHeight="1" x14ac:dyDescent="0.25">
      <c r="C566" s="6"/>
    </row>
    <row r="567" spans="3:3" ht="15.75" customHeight="1" x14ac:dyDescent="0.25">
      <c r="C567" s="6"/>
    </row>
    <row r="568" spans="3:3" ht="15.75" customHeight="1" x14ac:dyDescent="0.25">
      <c r="C568" s="6"/>
    </row>
    <row r="569" spans="3:3" ht="15.75" customHeight="1" x14ac:dyDescent="0.25">
      <c r="C569" s="6"/>
    </row>
    <row r="570" spans="3:3" ht="15.75" customHeight="1" x14ac:dyDescent="0.25">
      <c r="C570" s="6"/>
    </row>
    <row r="571" spans="3:3" ht="15.75" customHeight="1" x14ac:dyDescent="0.25">
      <c r="C571" s="6"/>
    </row>
    <row r="572" spans="3:3" ht="15.75" customHeight="1" x14ac:dyDescent="0.25">
      <c r="C572" s="6"/>
    </row>
    <row r="573" spans="3:3" ht="15.75" customHeight="1" x14ac:dyDescent="0.25">
      <c r="C573" s="6"/>
    </row>
    <row r="574" spans="3:3" ht="15.75" customHeight="1" x14ac:dyDescent="0.25">
      <c r="C574" s="6"/>
    </row>
    <row r="575" spans="3:3" ht="15.75" customHeight="1" x14ac:dyDescent="0.25">
      <c r="C575" s="6"/>
    </row>
    <row r="576" spans="3:3" ht="15.75" customHeight="1" x14ac:dyDescent="0.25">
      <c r="C576" s="6"/>
    </row>
    <row r="577" spans="3:3" ht="15.75" customHeight="1" x14ac:dyDescent="0.25">
      <c r="C577" s="6"/>
    </row>
    <row r="578" spans="3:3" ht="15.75" customHeight="1" x14ac:dyDescent="0.25">
      <c r="C578" s="6"/>
    </row>
    <row r="579" spans="3:3" ht="15.75" customHeight="1" x14ac:dyDescent="0.25">
      <c r="C579" s="6"/>
    </row>
    <row r="580" spans="3:3" ht="15.75" customHeight="1" x14ac:dyDescent="0.25">
      <c r="C580" s="6"/>
    </row>
    <row r="581" spans="3:3" ht="15.75" customHeight="1" x14ac:dyDescent="0.25">
      <c r="C581" s="6"/>
    </row>
    <row r="582" spans="3:3" ht="15.75" customHeight="1" x14ac:dyDescent="0.25">
      <c r="C582" s="6"/>
    </row>
    <row r="583" spans="3:3" ht="15.75" customHeight="1" x14ac:dyDescent="0.25">
      <c r="C583" s="6"/>
    </row>
    <row r="584" spans="3:3" ht="15.75" customHeight="1" x14ac:dyDescent="0.25">
      <c r="C584" s="6"/>
    </row>
    <row r="585" spans="3:3" ht="15.75" customHeight="1" x14ac:dyDescent="0.25">
      <c r="C585" s="6"/>
    </row>
    <row r="586" spans="3:3" ht="15.75" customHeight="1" x14ac:dyDescent="0.25">
      <c r="C586" s="6"/>
    </row>
    <row r="587" spans="3:3" ht="15.75" customHeight="1" x14ac:dyDescent="0.25">
      <c r="C587" s="6"/>
    </row>
    <row r="588" spans="3:3" ht="15.75" customHeight="1" x14ac:dyDescent="0.25">
      <c r="C588" s="6"/>
    </row>
    <row r="589" spans="3:3" ht="15.75" customHeight="1" x14ac:dyDescent="0.25">
      <c r="C589" s="6"/>
    </row>
    <row r="590" spans="3:3" ht="15.75" customHeight="1" x14ac:dyDescent="0.25">
      <c r="C590" s="6"/>
    </row>
    <row r="591" spans="3:3" ht="15.75" customHeight="1" x14ac:dyDescent="0.25">
      <c r="C591" s="6"/>
    </row>
    <row r="592" spans="3:3" ht="15.75" customHeight="1" x14ac:dyDescent="0.25">
      <c r="C592" s="6"/>
    </row>
    <row r="593" spans="3:3" ht="15.75" customHeight="1" x14ac:dyDescent="0.25">
      <c r="C593" s="6"/>
    </row>
    <row r="594" spans="3:3" ht="15.75" customHeight="1" x14ac:dyDescent="0.25">
      <c r="C594" s="6"/>
    </row>
    <row r="595" spans="3:3" ht="15.75" customHeight="1" x14ac:dyDescent="0.25">
      <c r="C595" s="6"/>
    </row>
    <row r="596" spans="3:3" ht="15.75" customHeight="1" x14ac:dyDescent="0.25">
      <c r="C596" s="6"/>
    </row>
    <row r="597" spans="3:3" ht="15.75" customHeight="1" x14ac:dyDescent="0.25">
      <c r="C597" s="6"/>
    </row>
    <row r="598" spans="3:3" ht="15.75" customHeight="1" x14ac:dyDescent="0.25">
      <c r="C598" s="6"/>
    </row>
    <row r="599" spans="3:3" ht="15.75" customHeight="1" x14ac:dyDescent="0.25">
      <c r="C599" s="6"/>
    </row>
    <row r="600" spans="3:3" ht="15.75" customHeight="1" x14ac:dyDescent="0.25">
      <c r="C600" s="6"/>
    </row>
    <row r="601" spans="3:3" ht="15.75" customHeight="1" x14ac:dyDescent="0.25">
      <c r="C601" s="6"/>
    </row>
    <row r="602" spans="3:3" ht="15.75" customHeight="1" x14ac:dyDescent="0.25">
      <c r="C602" s="6"/>
    </row>
    <row r="603" spans="3:3" ht="15.75" customHeight="1" x14ac:dyDescent="0.25">
      <c r="C603" s="6"/>
    </row>
    <row r="604" spans="3:3" ht="15.75" customHeight="1" x14ac:dyDescent="0.25">
      <c r="C604" s="6"/>
    </row>
    <row r="605" spans="3:3" ht="15.75" customHeight="1" x14ac:dyDescent="0.25">
      <c r="C605" s="6"/>
    </row>
    <row r="606" spans="3:3" ht="15.75" customHeight="1" x14ac:dyDescent="0.25">
      <c r="C606" s="6"/>
    </row>
    <row r="607" spans="3:3" ht="15.75" customHeight="1" x14ac:dyDescent="0.25">
      <c r="C607" s="6"/>
    </row>
    <row r="608" spans="3:3" ht="15.75" customHeight="1" x14ac:dyDescent="0.25">
      <c r="C608" s="6"/>
    </row>
    <row r="609" spans="3:3" ht="15.75" customHeight="1" x14ac:dyDescent="0.25">
      <c r="C609" s="6"/>
    </row>
    <row r="610" spans="3:3" ht="15.75" customHeight="1" x14ac:dyDescent="0.25">
      <c r="C610" s="6"/>
    </row>
    <row r="611" spans="3:3" ht="15.75" customHeight="1" x14ac:dyDescent="0.25">
      <c r="C611" s="6"/>
    </row>
    <row r="612" spans="3:3" ht="15.75" customHeight="1" x14ac:dyDescent="0.25">
      <c r="C612" s="6"/>
    </row>
    <row r="613" spans="3:3" ht="15.75" customHeight="1" x14ac:dyDescent="0.25">
      <c r="C613" s="6"/>
    </row>
    <row r="614" spans="3:3" ht="15.75" customHeight="1" x14ac:dyDescent="0.25">
      <c r="C614" s="6"/>
    </row>
    <row r="615" spans="3:3" ht="15.75" customHeight="1" x14ac:dyDescent="0.25">
      <c r="C615" s="6"/>
    </row>
    <row r="616" spans="3:3" ht="15.75" customHeight="1" x14ac:dyDescent="0.25">
      <c r="C616" s="6"/>
    </row>
    <row r="617" spans="3:3" ht="15.75" customHeight="1" x14ac:dyDescent="0.25">
      <c r="C617" s="6"/>
    </row>
    <row r="618" spans="3:3" ht="15.75" customHeight="1" x14ac:dyDescent="0.25">
      <c r="C618" s="6"/>
    </row>
    <row r="619" spans="3:3" ht="15.75" customHeight="1" x14ac:dyDescent="0.25">
      <c r="C619" s="6"/>
    </row>
    <row r="620" spans="3:3" ht="15.75" customHeight="1" x14ac:dyDescent="0.25">
      <c r="C620" s="6"/>
    </row>
    <row r="621" spans="3:3" ht="15.75" customHeight="1" x14ac:dyDescent="0.25">
      <c r="C621" s="6"/>
    </row>
    <row r="622" spans="3:3" ht="15.75" customHeight="1" x14ac:dyDescent="0.25">
      <c r="C622" s="6"/>
    </row>
    <row r="623" spans="3:3" ht="15.75" customHeight="1" x14ac:dyDescent="0.25">
      <c r="C623" s="6"/>
    </row>
    <row r="624" spans="3:3" ht="15.75" customHeight="1" x14ac:dyDescent="0.25">
      <c r="C624" s="6"/>
    </row>
    <row r="625" spans="3:3" ht="15.75" customHeight="1" x14ac:dyDescent="0.25">
      <c r="C625" s="6"/>
    </row>
    <row r="626" spans="3:3" ht="15.75" customHeight="1" x14ac:dyDescent="0.25">
      <c r="C626" s="6"/>
    </row>
    <row r="627" spans="3:3" ht="15.75" customHeight="1" x14ac:dyDescent="0.25">
      <c r="C627" s="6"/>
    </row>
    <row r="628" spans="3:3" ht="15.75" customHeight="1" x14ac:dyDescent="0.25">
      <c r="C628" s="6"/>
    </row>
    <row r="629" spans="3:3" ht="15.75" customHeight="1" x14ac:dyDescent="0.25">
      <c r="C629" s="6"/>
    </row>
    <row r="630" spans="3:3" ht="15.75" customHeight="1" x14ac:dyDescent="0.25">
      <c r="C630" s="6"/>
    </row>
    <row r="631" spans="3:3" ht="15.75" customHeight="1" x14ac:dyDescent="0.25">
      <c r="C631" s="6"/>
    </row>
    <row r="632" spans="3:3" ht="15.75" customHeight="1" x14ac:dyDescent="0.25">
      <c r="C632" s="6"/>
    </row>
    <row r="633" spans="3:3" ht="15.75" customHeight="1" x14ac:dyDescent="0.25">
      <c r="C633" s="6"/>
    </row>
    <row r="634" spans="3:3" ht="15.75" customHeight="1" x14ac:dyDescent="0.25">
      <c r="C634" s="6"/>
    </row>
    <row r="635" spans="3:3" ht="15.75" customHeight="1" x14ac:dyDescent="0.25">
      <c r="C635" s="6"/>
    </row>
    <row r="636" spans="3:3" ht="15.75" customHeight="1" x14ac:dyDescent="0.25">
      <c r="C636" s="6"/>
    </row>
    <row r="637" spans="3:3" ht="15.75" customHeight="1" x14ac:dyDescent="0.25">
      <c r="C637" s="6"/>
    </row>
    <row r="638" spans="3:3" ht="15.75" customHeight="1" x14ac:dyDescent="0.25">
      <c r="C638" s="6"/>
    </row>
    <row r="639" spans="3:3" ht="15.75" customHeight="1" x14ac:dyDescent="0.25">
      <c r="C639" s="6"/>
    </row>
    <row r="640" spans="3:3" ht="15.75" customHeight="1" x14ac:dyDescent="0.25">
      <c r="C640" s="6"/>
    </row>
    <row r="641" spans="3:3" ht="15.75" customHeight="1" x14ac:dyDescent="0.25">
      <c r="C641" s="6"/>
    </row>
    <row r="642" spans="3:3" ht="15.75" customHeight="1" x14ac:dyDescent="0.25">
      <c r="C642" s="6"/>
    </row>
    <row r="643" spans="3:3" ht="15.75" customHeight="1" x14ac:dyDescent="0.25">
      <c r="C643" s="6"/>
    </row>
    <row r="644" spans="3:3" ht="15.75" customHeight="1" x14ac:dyDescent="0.25">
      <c r="C644" s="6"/>
    </row>
    <row r="645" spans="3:3" ht="15.75" customHeight="1" x14ac:dyDescent="0.25">
      <c r="C645" s="6"/>
    </row>
    <row r="646" spans="3:3" ht="15.75" customHeight="1" x14ac:dyDescent="0.25">
      <c r="C646" s="6"/>
    </row>
    <row r="647" spans="3:3" ht="15.75" customHeight="1" x14ac:dyDescent="0.25">
      <c r="C647" s="6"/>
    </row>
    <row r="648" spans="3:3" ht="15.75" customHeight="1" x14ac:dyDescent="0.25">
      <c r="C648" s="6"/>
    </row>
    <row r="649" spans="3:3" ht="15.75" customHeight="1" x14ac:dyDescent="0.25">
      <c r="C649" s="6"/>
    </row>
    <row r="650" spans="3:3" ht="15.75" customHeight="1" x14ac:dyDescent="0.25">
      <c r="C650" s="6"/>
    </row>
    <row r="651" spans="3:3" ht="15.75" customHeight="1" x14ac:dyDescent="0.25">
      <c r="C651" s="6"/>
    </row>
    <row r="652" spans="3:3" ht="15.75" customHeight="1" x14ac:dyDescent="0.25">
      <c r="C652" s="6"/>
    </row>
    <row r="653" spans="3:3" ht="15.75" customHeight="1" x14ac:dyDescent="0.25">
      <c r="C653" s="6"/>
    </row>
    <row r="654" spans="3:3" ht="15.75" customHeight="1" x14ac:dyDescent="0.25">
      <c r="C654" s="6"/>
    </row>
    <row r="655" spans="3:3" ht="15.75" customHeight="1" x14ac:dyDescent="0.25">
      <c r="C655" s="6"/>
    </row>
    <row r="656" spans="3:3" ht="15.75" customHeight="1" x14ac:dyDescent="0.25">
      <c r="C656" s="6"/>
    </row>
    <row r="657" spans="3:3" ht="15.75" customHeight="1" x14ac:dyDescent="0.25">
      <c r="C657" s="6"/>
    </row>
    <row r="658" spans="3:3" ht="15.75" customHeight="1" x14ac:dyDescent="0.25">
      <c r="C658" s="6"/>
    </row>
    <row r="659" spans="3:3" ht="15.75" customHeight="1" x14ac:dyDescent="0.25">
      <c r="C659" s="6"/>
    </row>
    <row r="660" spans="3:3" ht="15.75" customHeight="1" x14ac:dyDescent="0.25">
      <c r="C660" s="6"/>
    </row>
    <row r="661" spans="3:3" ht="15.75" customHeight="1" x14ac:dyDescent="0.25">
      <c r="C661" s="6"/>
    </row>
    <row r="662" spans="3:3" ht="15.75" customHeight="1" x14ac:dyDescent="0.25">
      <c r="C662" s="6"/>
    </row>
    <row r="663" spans="3:3" ht="15.75" customHeight="1" x14ac:dyDescent="0.25">
      <c r="C663" s="6"/>
    </row>
    <row r="664" spans="3:3" ht="15.75" customHeight="1" x14ac:dyDescent="0.25">
      <c r="C664" s="6"/>
    </row>
    <row r="665" spans="3:3" ht="15.75" customHeight="1" x14ac:dyDescent="0.25">
      <c r="C665" s="6"/>
    </row>
    <row r="666" spans="3:3" ht="15.75" customHeight="1" x14ac:dyDescent="0.25">
      <c r="C666" s="6"/>
    </row>
    <row r="667" spans="3:3" ht="15.75" customHeight="1" x14ac:dyDescent="0.25">
      <c r="C667" s="6"/>
    </row>
    <row r="668" spans="3:3" ht="15.75" customHeight="1" x14ac:dyDescent="0.25">
      <c r="C668" s="6"/>
    </row>
    <row r="669" spans="3:3" ht="15.75" customHeight="1" x14ac:dyDescent="0.25">
      <c r="C669" s="6"/>
    </row>
    <row r="670" spans="3:3" ht="15.75" customHeight="1" x14ac:dyDescent="0.25">
      <c r="C670" s="6"/>
    </row>
    <row r="671" spans="3:3" ht="15.75" customHeight="1" x14ac:dyDescent="0.25">
      <c r="C671" s="6"/>
    </row>
    <row r="672" spans="3:3" ht="15.75" customHeight="1" x14ac:dyDescent="0.25">
      <c r="C672" s="6"/>
    </row>
    <row r="673" spans="3:3" ht="15.75" customHeight="1" x14ac:dyDescent="0.25">
      <c r="C673" s="6"/>
    </row>
    <row r="674" spans="3:3" ht="15.75" customHeight="1" x14ac:dyDescent="0.25">
      <c r="C674" s="6"/>
    </row>
    <row r="675" spans="3:3" ht="15.75" customHeight="1" x14ac:dyDescent="0.25">
      <c r="C675" s="6"/>
    </row>
    <row r="676" spans="3:3" ht="15.75" customHeight="1" x14ac:dyDescent="0.25">
      <c r="C676" s="6"/>
    </row>
    <row r="677" spans="3:3" ht="15.75" customHeight="1" x14ac:dyDescent="0.25">
      <c r="C677" s="6"/>
    </row>
    <row r="678" spans="3:3" ht="15.75" customHeight="1" x14ac:dyDescent="0.25">
      <c r="C678" s="6"/>
    </row>
    <row r="679" spans="3:3" ht="15.75" customHeight="1" x14ac:dyDescent="0.25">
      <c r="C679" s="6"/>
    </row>
    <row r="680" spans="3:3" ht="15.75" customHeight="1" x14ac:dyDescent="0.25">
      <c r="C680" s="6"/>
    </row>
    <row r="681" spans="3:3" ht="15.75" customHeight="1" x14ac:dyDescent="0.25">
      <c r="C681" s="6"/>
    </row>
    <row r="682" spans="3:3" ht="15.75" customHeight="1" x14ac:dyDescent="0.25">
      <c r="C682" s="6"/>
    </row>
    <row r="683" spans="3:3" ht="15.75" customHeight="1" x14ac:dyDescent="0.25">
      <c r="C683" s="6"/>
    </row>
    <row r="684" spans="3:3" ht="15.75" customHeight="1" x14ac:dyDescent="0.25">
      <c r="C684" s="6"/>
    </row>
    <row r="685" spans="3:3" ht="15.75" customHeight="1" x14ac:dyDescent="0.25">
      <c r="C685" s="6"/>
    </row>
    <row r="686" spans="3:3" ht="15.75" customHeight="1" x14ac:dyDescent="0.25">
      <c r="C686" s="6"/>
    </row>
    <row r="687" spans="3:3" ht="15.75" customHeight="1" x14ac:dyDescent="0.25">
      <c r="C687" s="6"/>
    </row>
    <row r="688" spans="3:3" ht="15.75" customHeight="1" x14ac:dyDescent="0.25">
      <c r="C688" s="6"/>
    </row>
    <row r="689" spans="3:3" ht="15.75" customHeight="1" x14ac:dyDescent="0.25">
      <c r="C689" s="6"/>
    </row>
    <row r="690" spans="3:3" ht="15.75" customHeight="1" x14ac:dyDescent="0.25">
      <c r="C690" s="6"/>
    </row>
    <row r="691" spans="3:3" ht="15.75" customHeight="1" x14ac:dyDescent="0.25">
      <c r="C691" s="6"/>
    </row>
    <row r="692" spans="3:3" ht="15.75" customHeight="1" x14ac:dyDescent="0.25">
      <c r="C692" s="6"/>
    </row>
    <row r="693" spans="3:3" ht="15.75" customHeight="1" x14ac:dyDescent="0.25">
      <c r="C693" s="6"/>
    </row>
    <row r="694" spans="3:3" ht="15.75" customHeight="1" x14ac:dyDescent="0.25">
      <c r="C694" s="6"/>
    </row>
    <row r="695" spans="3:3" ht="15.75" customHeight="1" x14ac:dyDescent="0.25">
      <c r="C695" s="6"/>
    </row>
    <row r="696" spans="3:3" ht="15.75" customHeight="1" x14ac:dyDescent="0.25">
      <c r="C696" s="6"/>
    </row>
    <row r="697" spans="3:3" ht="15.75" customHeight="1" x14ac:dyDescent="0.25">
      <c r="C697" s="6"/>
    </row>
    <row r="698" spans="3:3" ht="15.75" customHeight="1" x14ac:dyDescent="0.25">
      <c r="C698" s="6"/>
    </row>
    <row r="699" spans="3:3" ht="15.75" customHeight="1" x14ac:dyDescent="0.25">
      <c r="C699" s="6"/>
    </row>
    <row r="700" spans="3:3" ht="15.75" customHeight="1" x14ac:dyDescent="0.25">
      <c r="C700" s="6"/>
    </row>
    <row r="701" spans="3:3" ht="15.75" customHeight="1" x14ac:dyDescent="0.25">
      <c r="C701" s="6"/>
    </row>
    <row r="702" spans="3:3" ht="15.75" customHeight="1" x14ac:dyDescent="0.25">
      <c r="C702" s="6"/>
    </row>
    <row r="703" spans="3:3" ht="15.75" customHeight="1" x14ac:dyDescent="0.25">
      <c r="C703" s="6"/>
    </row>
    <row r="704" spans="3:3" ht="15.75" customHeight="1" x14ac:dyDescent="0.25">
      <c r="C704" s="6"/>
    </row>
    <row r="705" spans="3:3" ht="15.75" customHeight="1" x14ac:dyDescent="0.25">
      <c r="C705" s="6"/>
    </row>
    <row r="706" spans="3:3" ht="15.75" customHeight="1" x14ac:dyDescent="0.25">
      <c r="C706" s="6"/>
    </row>
    <row r="707" spans="3:3" ht="15.75" customHeight="1" x14ac:dyDescent="0.25">
      <c r="C707" s="6"/>
    </row>
    <row r="708" spans="3:3" ht="15.75" customHeight="1" x14ac:dyDescent="0.25">
      <c r="C708" s="6"/>
    </row>
    <row r="709" spans="3:3" ht="15.75" customHeight="1" x14ac:dyDescent="0.25">
      <c r="C709" s="6"/>
    </row>
    <row r="710" spans="3:3" ht="15.75" customHeight="1" x14ac:dyDescent="0.25">
      <c r="C710" s="6"/>
    </row>
    <row r="711" spans="3:3" ht="15.75" customHeight="1" x14ac:dyDescent="0.25">
      <c r="C711" s="6"/>
    </row>
    <row r="712" spans="3:3" ht="15.75" customHeight="1" x14ac:dyDescent="0.25">
      <c r="C712" s="6"/>
    </row>
    <row r="713" spans="3:3" ht="15.75" customHeight="1" x14ac:dyDescent="0.25">
      <c r="C713" s="6"/>
    </row>
    <row r="714" spans="3:3" ht="15.75" customHeight="1" x14ac:dyDescent="0.25">
      <c r="C714" s="6"/>
    </row>
    <row r="715" spans="3:3" ht="15.75" customHeight="1" x14ac:dyDescent="0.25">
      <c r="C715" s="6"/>
    </row>
    <row r="716" spans="3:3" ht="15.75" customHeight="1" x14ac:dyDescent="0.25">
      <c r="C716" s="6"/>
    </row>
    <row r="717" spans="3:3" ht="15.75" customHeight="1" x14ac:dyDescent="0.25">
      <c r="C717" s="6"/>
    </row>
    <row r="718" spans="3:3" ht="15.75" customHeight="1" x14ac:dyDescent="0.25">
      <c r="C718" s="6"/>
    </row>
    <row r="719" spans="3:3" ht="15.75" customHeight="1" x14ac:dyDescent="0.25">
      <c r="C719" s="6"/>
    </row>
    <row r="720" spans="3:3" ht="15.75" customHeight="1" x14ac:dyDescent="0.25">
      <c r="C720" s="6"/>
    </row>
    <row r="721" spans="3:3" ht="15.75" customHeight="1" x14ac:dyDescent="0.25">
      <c r="C721" s="6"/>
    </row>
    <row r="722" spans="3:3" ht="15.75" customHeight="1" x14ac:dyDescent="0.25">
      <c r="C722" s="6"/>
    </row>
    <row r="723" spans="3:3" ht="15.75" customHeight="1" x14ac:dyDescent="0.25">
      <c r="C723" s="6"/>
    </row>
    <row r="724" spans="3:3" ht="15.75" customHeight="1" x14ac:dyDescent="0.25">
      <c r="C724" s="6"/>
    </row>
    <row r="725" spans="3:3" ht="15.75" customHeight="1" x14ac:dyDescent="0.25">
      <c r="C725" s="6"/>
    </row>
    <row r="726" spans="3:3" ht="15.75" customHeight="1" x14ac:dyDescent="0.25">
      <c r="C726" s="6"/>
    </row>
    <row r="727" spans="3:3" ht="15.75" customHeight="1" x14ac:dyDescent="0.25">
      <c r="C727" s="6"/>
    </row>
    <row r="728" spans="3:3" ht="15.75" customHeight="1" x14ac:dyDescent="0.25">
      <c r="C728" s="6"/>
    </row>
    <row r="729" spans="3:3" ht="15.75" customHeight="1" x14ac:dyDescent="0.25">
      <c r="C729" s="6"/>
    </row>
    <row r="730" spans="3:3" ht="15.75" customHeight="1" x14ac:dyDescent="0.25">
      <c r="C730" s="6"/>
    </row>
    <row r="731" spans="3:3" ht="15.75" customHeight="1" x14ac:dyDescent="0.25">
      <c r="C731" s="6"/>
    </row>
    <row r="732" spans="3:3" ht="15.75" customHeight="1" x14ac:dyDescent="0.25">
      <c r="C732" s="6"/>
    </row>
    <row r="733" spans="3:3" ht="15.75" customHeight="1" x14ac:dyDescent="0.25">
      <c r="C733" s="6"/>
    </row>
    <row r="734" spans="3:3" ht="15.75" customHeight="1" x14ac:dyDescent="0.25">
      <c r="C734" s="6"/>
    </row>
    <row r="735" spans="3:3" ht="15.75" customHeight="1" x14ac:dyDescent="0.25">
      <c r="C735" s="6"/>
    </row>
    <row r="736" spans="3:3" ht="15.75" customHeight="1" x14ac:dyDescent="0.25">
      <c r="C736" s="6"/>
    </row>
    <row r="737" spans="3:3" ht="15.75" customHeight="1" x14ac:dyDescent="0.25">
      <c r="C737" s="6"/>
    </row>
    <row r="738" spans="3:3" ht="15.75" customHeight="1" x14ac:dyDescent="0.25">
      <c r="C738" s="6"/>
    </row>
    <row r="739" spans="3:3" ht="15.75" customHeight="1" x14ac:dyDescent="0.25">
      <c r="C739" s="6"/>
    </row>
    <row r="740" spans="3:3" ht="15.75" customHeight="1" x14ac:dyDescent="0.25">
      <c r="C740" s="6"/>
    </row>
    <row r="741" spans="3:3" ht="15.75" customHeight="1" x14ac:dyDescent="0.25">
      <c r="C741" s="6"/>
    </row>
    <row r="742" spans="3:3" ht="15.75" customHeight="1" x14ac:dyDescent="0.25">
      <c r="C742" s="6"/>
    </row>
    <row r="743" spans="3:3" ht="15.75" customHeight="1" x14ac:dyDescent="0.25">
      <c r="C743" s="6"/>
    </row>
    <row r="744" spans="3:3" ht="15.75" customHeight="1" x14ac:dyDescent="0.25">
      <c r="C744" s="6"/>
    </row>
    <row r="745" spans="3:3" ht="15.75" customHeight="1" x14ac:dyDescent="0.25">
      <c r="C745" s="6"/>
    </row>
    <row r="746" spans="3:3" ht="15.75" customHeight="1" x14ac:dyDescent="0.25">
      <c r="C746" s="6"/>
    </row>
    <row r="747" spans="3:3" ht="15.75" customHeight="1" x14ac:dyDescent="0.25">
      <c r="C747" s="6"/>
    </row>
    <row r="748" spans="3:3" ht="15.75" customHeight="1" x14ac:dyDescent="0.25">
      <c r="C748" s="6"/>
    </row>
    <row r="749" spans="3:3" ht="15.75" customHeight="1" x14ac:dyDescent="0.25">
      <c r="C749" s="6"/>
    </row>
    <row r="750" spans="3:3" ht="15.75" customHeight="1" x14ac:dyDescent="0.25">
      <c r="C750" s="6"/>
    </row>
    <row r="751" spans="3:3" ht="15.75" customHeight="1" x14ac:dyDescent="0.25">
      <c r="C751" s="6"/>
    </row>
    <row r="752" spans="3:3" ht="15.75" customHeight="1" x14ac:dyDescent="0.25">
      <c r="C752" s="6"/>
    </row>
    <row r="753" spans="3:3" ht="15.75" customHeight="1" x14ac:dyDescent="0.25">
      <c r="C753" s="6"/>
    </row>
    <row r="754" spans="3:3" ht="15.75" customHeight="1" x14ac:dyDescent="0.25">
      <c r="C754" s="6"/>
    </row>
    <row r="755" spans="3:3" ht="15.75" customHeight="1" x14ac:dyDescent="0.25">
      <c r="C755" s="6"/>
    </row>
    <row r="756" spans="3:3" ht="15.75" customHeight="1" x14ac:dyDescent="0.25">
      <c r="C756" s="6"/>
    </row>
    <row r="757" spans="3:3" ht="15.75" customHeight="1" x14ac:dyDescent="0.25">
      <c r="C757" s="6"/>
    </row>
    <row r="758" spans="3:3" ht="15.75" customHeight="1" x14ac:dyDescent="0.25">
      <c r="C758" s="6"/>
    </row>
    <row r="759" spans="3:3" ht="15.75" customHeight="1" x14ac:dyDescent="0.25">
      <c r="C759" s="6"/>
    </row>
    <row r="760" spans="3:3" ht="15.75" customHeight="1" x14ac:dyDescent="0.25">
      <c r="C760" s="6"/>
    </row>
    <row r="761" spans="3:3" ht="15.75" customHeight="1" x14ac:dyDescent="0.25">
      <c r="C761" s="6"/>
    </row>
    <row r="762" spans="3:3" ht="15.75" customHeight="1" x14ac:dyDescent="0.25">
      <c r="C762" s="6"/>
    </row>
    <row r="763" spans="3:3" ht="15.75" customHeight="1" x14ac:dyDescent="0.25">
      <c r="C763" s="6"/>
    </row>
    <row r="764" spans="3:3" ht="15.75" customHeight="1" x14ac:dyDescent="0.25">
      <c r="C764" s="6"/>
    </row>
    <row r="765" spans="3:3" ht="15.75" customHeight="1" x14ac:dyDescent="0.25">
      <c r="C765" s="6"/>
    </row>
    <row r="766" spans="3:3" ht="15.75" customHeight="1" x14ac:dyDescent="0.25">
      <c r="C766" s="6"/>
    </row>
    <row r="767" spans="3:3" ht="15.75" customHeight="1" x14ac:dyDescent="0.25">
      <c r="C767" s="6"/>
    </row>
    <row r="768" spans="3:3" ht="15.75" customHeight="1" x14ac:dyDescent="0.25">
      <c r="C768" s="6"/>
    </row>
    <row r="769" spans="3:3" ht="15.75" customHeight="1" x14ac:dyDescent="0.25">
      <c r="C769" s="6"/>
    </row>
    <row r="770" spans="3:3" ht="15.75" customHeight="1" x14ac:dyDescent="0.25">
      <c r="C770" s="6"/>
    </row>
    <row r="771" spans="3:3" ht="15.75" customHeight="1" x14ac:dyDescent="0.25">
      <c r="C771" s="6"/>
    </row>
    <row r="772" spans="3:3" ht="15.75" customHeight="1" x14ac:dyDescent="0.25">
      <c r="C772" s="6"/>
    </row>
    <row r="773" spans="3:3" ht="15.75" customHeight="1" x14ac:dyDescent="0.25">
      <c r="C773" s="6"/>
    </row>
    <row r="774" spans="3:3" ht="15.75" customHeight="1" x14ac:dyDescent="0.25">
      <c r="C774" s="6"/>
    </row>
    <row r="775" spans="3:3" ht="15.75" customHeight="1" x14ac:dyDescent="0.25">
      <c r="C775" s="6"/>
    </row>
    <row r="776" spans="3:3" ht="15.75" customHeight="1" x14ac:dyDescent="0.25">
      <c r="C776" s="6"/>
    </row>
    <row r="777" spans="3:3" ht="15.75" customHeight="1" x14ac:dyDescent="0.25">
      <c r="C777" s="6"/>
    </row>
    <row r="778" spans="3:3" ht="15.75" customHeight="1" x14ac:dyDescent="0.25">
      <c r="C778" s="6"/>
    </row>
    <row r="779" spans="3:3" ht="15.75" customHeight="1" x14ac:dyDescent="0.25">
      <c r="C779" s="6"/>
    </row>
    <row r="780" spans="3:3" ht="15.75" customHeight="1" x14ac:dyDescent="0.25">
      <c r="C780" s="6"/>
    </row>
    <row r="781" spans="3:3" ht="15.75" customHeight="1" x14ac:dyDescent="0.25">
      <c r="C781" s="6"/>
    </row>
    <row r="782" spans="3:3" ht="15.75" customHeight="1" x14ac:dyDescent="0.25">
      <c r="C782" s="6"/>
    </row>
    <row r="783" spans="3:3" ht="15.75" customHeight="1" x14ac:dyDescent="0.25">
      <c r="C783" s="6"/>
    </row>
    <row r="784" spans="3:3" ht="15.75" customHeight="1" x14ac:dyDescent="0.25">
      <c r="C784" s="6"/>
    </row>
    <row r="785" spans="3:3" ht="15.75" customHeight="1" x14ac:dyDescent="0.25">
      <c r="C785" s="6"/>
    </row>
    <row r="786" spans="3:3" ht="15.75" customHeight="1" x14ac:dyDescent="0.25">
      <c r="C786" s="6"/>
    </row>
    <row r="787" spans="3:3" ht="15.75" customHeight="1" x14ac:dyDescent="0.25">
      <c r="C787" s="6"/>
    </row>
    <row r="788" spans="3:3" ht="15.75" customHeight="1" x14ac:dyDescent="0.25">
      <c r="C788" s="6"/>
    </row>
    <row r="789" spans="3:3" ht="15.75" customHeight="1" x14ac:dyDescent="0.25">
      <c r="C789" s="6"/>
    </row>
    <row r="790" spans="3:3" ht="15.75" customHeight="1" x14ac:dyDescent="0.25">
      <c r="C790" s="6"/>
    </row>
    <row r="791" spans="3:3" ht="15.75" customHeight="1" x14ac:dyDescent="0.25">
      <c r="C791" s="6"/>
    </row>
    <row r="792" spans="3:3" ht="15.75" customHeight="1" x14ac:dyDescent="0.25">
      <c r="C792" s="6"/>
    </row>
    <row r="793" spans="3:3" ht="15.75" customHeight="1" x14ac:dyDescent="0.25">
      <c r="C793" s="6"/>
    </row>
    <row r="794" spans="3:3" ht="15.75" customHeight="1" x14ac:dyDescent="0.25">
      <c r="C794" s="6"/>
    </row>
    <row r="795" spans="3:3" ht="15.75" customHeight="1" x14ac:dyDescent="0.25">
      <c r="C795" s="6"/>
    </row>
    <row r="796" spans="3:3" ht="15.75" customHeight="1" x14ac:dyDescent="0.25">
      <c r="C796" s="6"/>
    </row>
    <row r="797" spans="3:3" ht="15.75" customHeight="1" x14ac:dyDescent="0.25">
      <c r="C797" s="6"/>
    </row>
    <row r="798" spans="3:3" ht="15.75" customHeight="1" x14ac:dyDescent="0.25">
      <c r="C798" s="6"/>
    </row>
    <row r="799" spans="3:3" ht="15.75" customHeight="1" x14ac:dyDescent="0.25">
      <c r="C799" s="6"/>
    </row>
    <row r="800" spans="3:3" ht="15.75" customHeight="1" x14ac:dyDescent="0.25">
      <c r="C800" s="6"/>
    </row>
    <row r="801" spans="3:3" ht="15.75" customHeight="1" x14ac:dyDescent="0.25">
      <c r="C801" s="6"/>
    </row>
    <row r="802" spans="3:3" ht="15.75" customHeight="1" x14ac:dyDescent="0.25">
      <c r="C802" s="6"/>
    </row>
    <row r="803" spans="3:3" ht="15.75" customHeight="1" x14ac:dyDescent="0.25">
      <c r="C803" s="6"/>
    </row>
    <row r="804" spans="3:3" ht="15.75" customHeight="1" x14ac:dyDescent="0.25">
      <c r="C804" s="6"/>
    </row>
    <row r="805" spans="3:3" ht="15.75" customHeight="1" x14ac:dyDescent="0.25">
      <c r="C805" s="6"/>
    </row>
    <row r="806" spans="3:3" ht="15.75" customHeight="1" x14ac:dyDescent="0.25">
      <c r="C806" s="6"/>
    </row>
    <row r="807" spans="3:3" ht="15.75" customHeight="1" x14ac:dyDescent="0.25">
      <c r="C807" s="6"/>
    </row>
    <row r="808" spans="3:3" ht="15.75" customHeight="1" x14ac:dyDescent="0.25">
      <c r="C808" s="6"/>
    </row>
    <row r="809" spans="3:3" ht="15.75" customHeight="1" x14ac:dyDescent="0.25">
      <c r="C809" s="6"/>
    </row>
    <row r="810" spans="3:3" ht="15.75" customHeight="1" x14ac:dyDescent="0.25">
      <c r="C810" s="6"/>
    </row>
    <row r="811" spans="3:3" ht="15.75" customHeight="1" x14ac:dyDescent="0.25">
      <c r="C811" s="6"/>
    </row>
    <row r="812" spans="3:3" ht="15.75" customHeight="1" x14ac:dyDescent="0.25">
      <c r="C812" s="6"/>
    </row>
    <row r="813" spans="3:3" ht="15.75" customHeight="1" x14ac:dyDescent="0.25">
      <c r="C813" s="6"/>
    </row>
    <row r="814" spans="3:3" ht="15.75" customHeight="1" x14ac:dyDescent="0.25">
      <c r="C814" s="6"/>
    </row>
    <row r="815" spans="3:3" ht="15.75" customHeight="1" x14ac:dyDescent="0.25">
      <c r="C815" s="6"/>
    </row>
    <row r="816" spans="3:3" ht="15.75" customHeight="1" x14ac:dyDescent="0.25">
      <c r="C816" s="6"/>
    </row>
    <row r="817" spans="3:3" ht="15.75" customHeight="1" x14ac:dyDescent="0.25">
      <c r="C817" s="6"/>
    </row>
    <row r="818" spans="3:3" ht="15.75" customHeight="1" x14ac:dyDescent="0.25">
      <c r="C818" s="6"/>
    </row>
    <row r="819" spans="3:3" ht="15.75" customHeight="1" x14ac:dyDescent="0.25">
      <c r="C819" s="6"/>
    </row>
    <row r="820" spans="3:3" ht="15.75" customHeight="1" x14ac:dyDescent="0.25">
      <c r="C820" s="6"/>
    </row>
    <row r="821" spans="3:3" ht="15.75" customHeight="1" x14ac:dyDescent="0.25">
      <c r="C821" s="6"/>
    </row>
    <row r="822" spans="3:3" ht="15.75" customHeight="1" x14ac:dyDescent="0.25">
      <c r="C822" s="6"/>
    </row>
    <row r="823" spans="3:3" ht="15.75" customHeight="1" x14ac:dyDescent="0.25">
      <c r="C823" s="6"/>
    </row>
    <row r="824" spans="3:3" ht="15.75" customHeight="1" x14ac:dyDescent="0.25">
      <c r="C824" s="6"/>
    </row>
    <row r="825" spans="3:3" ht="15.75" customHeight="1" x14ac:dyDescent="0.25">
      <c r="C825" s="6"/>
    </row>
    <row r="826" spans="3:3" ht="15.75" customHeight="1" x14ac:dyDescent="0.25">
      <c r="C826" s="6"/>
    </row>
    <row r="827" spans="3:3" ht="15.75" customHeight="1" x14ac:dyDescent="0.25">
      <c r="C827" s="6"/>
    </row>
    <row r="828" spans="3:3" ht="15.75" customHeight="1" x14ac:dyDescent="0.25">
      <c r="C828" s="6"/>
    </row>
    <row r="829" spans="3:3" ht="15.75" customHeight="1" x14ac:dyDescent="0.25">
      <c r="C829" s="6"/>
    </row>
    <row r="830" spans="3:3" ht="15.75" customHeight="1" x14ac:dyDescent="0.25">
      <c r="C830" s="6"/>
    </row>
    <row r="831" spans="3:3" ht="15.75" customHeight="1" x14ac:dyDescent="0.25">
      <c r="C831" s="6"/>
    </row>
    <row r="832" spans="3:3" ht="15.75" customHeight="1" x14ac:dyDescent="0.25">
      <c r="C832" s="6"/>
    </row>
    <row r="833" spans="3:3" ht="15.75" customHeight="1" x14ac:dyDescent="0.25">
      <c r="C833" s="6"/>
    </row>
    <row r="834" spans="3:3" ht="15.75" customHeight="1" x14ac:dyDescent="0.25">
      <c r="C834" s="6"/>
    </row>
    <row r="835" spans="3:3" ht="15.75" customHeight="1" x14ac:dyDescent="0.25">
      <c r="C835" s="6"/>
    </row>
    <row r="836" spans="3:3" ht="15.75" customHeight="1" x14ac:dyDescent="0.25">
      <c r="C836" s="6"/>
    </row>
    <row r="837" spans="3:3" ht="15.75" customHeight="1" x14ac:dyDescent="0.25">
      <c r="C837" s="6"/>
    </row>
    <row r="838" spans="3:3" ht="15.75" customHeight="1" x14ac:dyDescent="0.25">
      <c r="C838" s="6"/>
    </row>
    <row r="839" spans="3:3" ht="15.75" customHeight="1" x14ac:dyDescent="0.25">
      <c r="C839" s="6"/>
    </row>
    <row r="840" spans="3:3" ht="15.75" customHeight="1" x14ac:dyDescent="0.25">
      <c r="C840" s="6"/>
    </row>
    <row r="841" spans="3:3" ht="15.75" customHeight="1" x14ac:dyDescent="0.25">
      <c r="C841" s="6"/>
    </row>
    <row r="842" spans="3:3" ht="15.75" customHeight="1" x14ac:dyDescent="0.25">
      <c r="C842" s="6"/>
    </row>
    <row r="843" spans="3:3" ht="15.75" customHeight="1" x14ac:dyDescent="0.25">
      <c r="C843" s="6"/>
    </row>
    <row r="844" spans="3:3" ht="15.75" customHeight="1" x14ac:dyDescent="0.25">
      <c r="C844" s="6"/>
    </row>
    <row r="845" spans="3:3" ht="15.75" customHeight="1" x14ac:dyDescent="0.25">
      <c r="C845" s="6"/>
    </row>
    <row r="846" spans="3:3" ht="15.75" customHeight="1" x14ac:dyDescent="0.25">
      <c r="C846" s="6"/>
    </row>
    <row r="847" spans="3:3" ht="15.75" customHeight="1" x14ac:dyDescent="0.25">
      <c r="C847" s="6"/>
    </row>
    <row r="848" spans="3:3" ht="15.75" customHeight="1" x14ac:dyDescent="0.25">
      <c r="C848" s="6"/>
    </row>
    <row r="849" spans="3:3" ht="15.75" customHeight="1" x14ac:dyDescent="0.25">
      <c r="C849" s="6"/>
    </row>
    <row r="850" spans="3:3" ht="15.75" customHeight="1" x14ac:dyDescent="0.25">
      <c r="C850" s="6"/>
    </row>
    <row r="851" spans="3:3" ht="15.75" customHeight="1" x14ac:dyDescent="0.25">
      <c r="C851" s="6"/>
    </row>
    <row r="852" spans="3:3" ht="15.75" customHeight="1" x14ac:dyDescent="0.25">
      <c r="C852" s="6"/>
    </row>
    <row r="853" spans="3:3" ht="15.75" customHeight="1" x14ac:dyDescent="0.25">
      <c r="C853" s="6"/>
    </row>
    <row r="854" spans="3:3" ht="15.75" customHeight="1" x14ac:dyDescent="0.25">
      <c r="C854" s="6"/>
    </row>
    <row r="855" spans="3:3" ht="15.75" customHeight="1" x14ac:dyDescent="0.25">
      <c r="C855" s="6"/>
    </row>
    <row r="856" spans="3:3" ht="15.75" customHeight="1" x14ac:dyDescent="0.25">
      <c r="C856" s="6"/>
    </row>
    <row r="857" spans="3:3" ht="15.75" customHeight="1" x14ac:dyDescent="0.25">
      <c r="C857" s="6"/>
    </row>
    <row r="858" spans="3:3" ht="15.75" customHeight="1" x14ac:dyDescent="0.25">
      <c r="C858" s="6"/>
    </row>
    <row r="859" spans="3:3" ht="15.75" customHeight="1" x14ac:dyDescent="0.25">
      <c r="C859" s="6"/>
    </row>
    <row r="860" spans="3:3" ht="15.75" customHeight="1" x14ac:dyDescent="0.25">
      <c r="C860" s="6"/>
    </row>
    <row r="861" spans="3:3" ht="15.75" customHeight="1" x14ac:dyDescent="0.25">
      <c r="C861" s="6"/>
    </row>
    <row r="862" spans="3:3" ht="15.75" customHeight="1" x14ac:dyDescent="0.25">
      <c r="C862" s="6"/>
    </row>
    <row r="863" spans="3:3" ht="15.75" customHeight="1" x14ac:dyDescent="0.25">
      <c r="C863" s="6"/>
    </row>
    <row r="864" spans="3:3" ht="15.75" customHeight="1" x14ac:dyDescent="0.25">
      <c r="C864" s="6"/>
    </row>
    <row r="865" spans="3:3" ht="15.75" customHeight="1" x14ac:dyDescent="0.25">
      <c r="C865" s="6"/>
    </row>
    <row r="866" spans="3:3" ht="15.75" customHeight="1" x14ac:dyDescent="0.25">
      <c r="C866" s="6"/>
    </row>
    <row r="867" spans="3:3" ht="15.75" customHeight="1" x14ac:dyDescent="0.25">
      <c r="C867" s="6"/>
    </row>
    <row r="868" spans="3:3" ht="15.75" customHeight="1" x14ac:dyDescent="0.25">
      <c r="C868" s="6"/>
    </row>
    <row r="869" spans="3:3" ht="15.75" customHeight="1" x14ac:dyDescent="0.25">
      <c r="C869" s="6"/>
    </row>
    <row r="870" spans="3:3" ht="15.75" customHeight="1" x14ac:dyDescent="0.25">
      <c r="C870" s="6"/>
    </row>
    <row r="871" spans="3:3" ht="15.75" customHeight="1" x14ac:dyDescent="0.25">
      <c r="C871" s="6"/>
    </row>
    <row r="872" spans="3:3" ht="15.75" customHeight="1" x14ac:dyDescent="0.25">
      <c r="C872" s="6"/>
    </row>
    <row r="873" spans="3:3" ht="15.75" customHeight="1" x14ac:dyDescent="0.25">
      <c r="C873" s="6"/>
    </row>
    <row r="874" spans="3:3" ht="15.75" customHeight="1" x14ac:dyDescent="0.25">
      <c r="C874" s="6"/>
    </row>
    <row r="875" spans="3:3" ht="15.75" customHeight="1" x14ac:dyDescent="0.25">
      <c r="C875" s="6"/>
    </row>
    <row r="876" spans="3:3" ht="15.75" customHeight="1" x14ac:dyDescent="0.25">
      <c r="C876" s="6"/>
    </row>
    <row r="877" spans="3:3" ht="15.75" customHeight="1" x14ac:dyDescent="0.25">
      <c r="C877" s="6"/>
    </row>
    <row r="878" spans="3:3" ht="15.75" customHeight="1" x14ac:dyDescent="0.25">
      <c r="C878" s="6"/>
    </row>
    <row r="879" spans="3:3" ht="15.75" customHeight="1" x14ac:dyDescent="0.25">
      <c r="C879" s="6"/>
    </row>
    <row r="880" spans="3:3" ht="15.75" customHeight="1" x14ac:dyDescent="0.25">
      <c r="C880" s="6"/>
    </row>
    <row r="881" spans="3:3" ht="15.75" customHeight="1" x14ac:dyDescent="0.25">
      <c r="C881" s="6"/>
    </row>
    <row r="882" spans="3:3" ht="15.75" customHeight="1" x14ac:dyDescent="0.25">
      <c r="C882" s="6"/>
    </row>
    <row r="883" spans="3:3" ht="15.75" customHeight="1" x14ac:dyDescent="0.25">
      <c r="C883" s="6"/>
    </row>
    <row r="884" spans="3:3" ht="15.75" customHeight="1" x14ac:dyDescent="0.25">
      <c r="C884" s="6"/>
    </row>
    <row r="885" spans="3:3" ht="15.75" customHeight="1" x14ac:dyDescent="0.25">
      <c r="C885" s="6"/>
    </row>
    <row r="886" spans="3:3" ht="15.75" customHeight="1" x14ac:dyDescent="0.25">
      <c r="C886" s="6"/>
    </row>
    <row r="887" spans="3:3" ht="15.75" customHeight="1" x14ac:dyDescent="0.25">
      <c r="C887" s="6"/>
    </row>
    <row r="888" spans="3:3" ht="15.75" customHeight="1" x14ac:dyDescent="0.25">
      <c r="C888" s="6"/>
    </row>
    <row r="889" spans="3:3" ht="15.75" customHeight="1" x14ac:dyDescent="0.25">
      <c r="C889" s="6"/>
    </row>
    <row r="890" spans="3:3" ht="15.75" customHeight="1" x14ac:dyDescent="0.25">
      <c r="C890" s="6"/>
    </row>
    <row r="891" spans="3:3" ht="15.75" customHeight="1" x14ac:dyDescent="0.25">
      <c r="C891" s="6"/>
    </row>
    <row r="892" spans="3:3" ht="15.75" customHeight="1" x14ac:dyDescent="0.25">
      <c r="C892" s="6"/>
    </row>
    <row r="893" spans="3:3" ht="15.75" customHeight="1" x14ac:dyDescent="0.25">
      <c r="C893" s="6"/>
    </row>
    <row r="894" spans="3:3" ht="15.75" customHeight="1" x14ac:dyDescent="0.25">
      <c r="C894" s="6"/>
    </row>
    <row r="895" spans="3:3" ht="15.75" customHeight="1" x14ac:dyDescent="0.25">
      <c r="C895" s="6"/>
    </row>
    <row r="896" spans="3:3" ht="15.75" customHeight="1" x14ac:dyDescent="0.25">
      <c r="C896" s="6"/>
    </row>
    <row r="897" spans="3:3" ht="15.75" customHeight="1" x14ac:dyDescent="0.25">
      <c r="C897" s="6"/>
    </row>
    <row r="898" spans="3:3" ht="15.75" customHeight="1" x14ac:dyDescent="0.25">
      <c r="C898" s="6"/>
    </row>
    <row r="899" spans="3:3" ht="15.75" customHeight="1" x14ac:dyDescent="0.25">
      <c r="C899" s="6"/>
    </row>
    <row r="900" spans="3:3" ht="15.75" customHeight="1" x14ac:dyDescent="0.25">
      <c r="C900" s="6"/>
    </row>
    <row r="901" spans="3:3" ht="15.75" customHeight="1" x14ac:dyDescent="0.25">
      <c r="C901" s="6"/>
    </row>
    <row r="902" spans="3:3" ht="15.75" customHeight="1" x14ac:dyDescent="0.25">
      <c r="C902" s="6"/>
    </row>
    <row r="903" spans="3:3" ht="15.75" customHeight="1" x14ac:dyDescent="0.25">
      <c r="C903" s="6"/>
    </row>
    <row r="904" spans="3:3" ht="15.75" customHeight="1" x14ac:dyDescent="0.25">
      <c r="C904" s="6"/>
    </row>
    <row r="905" spans="3:3" ht="15.75" customHeight="1" x14ac:dyDescent="0.25">
      <c r="C905" s="6"/>
    </row>
    <row r="906" spans="3:3" ht="15.75" customHeight="1" x14ac:dyDescent="0.25">
      <c r="C906" s="6"/>
    </row>
    <row r="907" spans="3:3" ht="15.75" customHeight="1" x14ac:dyDescent="0.25">
      <c r="C907" s="6"/>
    </row>
    <row r="908" spans="3:3" ht="15.75" customHeight="1" x14ac:dyDescent="0.25">
      <c r="C908" s="6"/>
    </row>
    <row r="909" spans="3:3" ht="15.75" customHeight="1" x14ac:dyDescent="0.25">
      <c r="C909" s="6"/>
    </row>
    <row r="910" spans="3:3" ht="15.75" customHeight="1" x14ac:dyDescent="0.25">
      <c r="C910" s="6"/>
    </row>
    <row r="911" spans="3:3" ht="15.75" customHeight="1" x14ac:dyDescent="0.25">
      <c r="C911" s="6"/>
    </row>
    <row r="912" spans="3:3" ht="15.75" customHeight="1" x14ac:dyDescent="0.25">
      <c r="C912" s="6"/>
    </row>
    <row r="913" spans="3:3" ht="15.75" customHeight="1" x14ac:dyDescent="0.25">
      <c r="C913" s="6"/>
    </row>
    <row r="914" spans="3:3" ht="15.75" customHeight="1" x14ac:dyDescent="0.25">
      <c r="C914" s="6"/>
    </row>
    <row r="915" spans="3:3" ht="15.75" customHeight="1" x14ac:dyDescent="0.25">
      <c r="C915" s="6"/>
    </row>
    <row r="916" spans="3:3" ht="15.75" customHeight="1" x14ac:dyDescent="0.25">
      <c r="C916" s="6"/>
    </row>
    <row r="917" spans="3:3" ht="15.75" customHeight="1" x14ac:dyDescent="0.25">
      <c r="C917" s="6"/>
    </row>
    <row r="918" spans="3:3" ht="15.75" customHeight="1" x14ac:dyDescent="0.25">
      <c r="C918" s="6"/>
    </row>
    <row r="919" spans="3:3" ht="15.75" customHeight="1" x14ac:dyDescent="0.25">
      <c r="C919" s="6"/>
    </row>
    <row r="920" spans="3:3" ht="15.75" customHeight="1" x14ac:dyDescent="0.25">
      <c r="C920" s="6"/>
    </row>
    <row r="921" spans="3:3" ht="15.75" customHeight="1" x14ac:dyDescent="0.25">
      <c r="C921" s="6"/>
    </row>
    <row r="922" spans="3:3" ht="15.75" customHeight="1" x14ac:dyDescent="0.25">
      <c r="C922" s="6"/>
    </row>
    <row r="923" spans="3:3" ht="15.75" customHeight="1" x14ac:dyDescent="0.25">
      <c r="C923" s="6"/>
    </row>
    <row r="924" spans="3:3" ht="15.75" customHeight="1" x14ac:dyDescent="0.25">
      <c r="C924" s="6"/>
    </row>
    <row r="925" spans="3:3" ht="15.75" customHeight="1" x14ac:dyDescent="0.25">
      <c r="C925" s="6"/>
    </row>
    <row r="926" spans="3:3" ht="15.75" customHeight="1" x14ac:dyDescent="0.25">
      <c r="C926" s="6"/>
    </row>
    <row r="927" spans="3:3" ht="15.75" customHeight="1" x14ac:dyDescent="0.25">
      <c r="C927" s="6"/>
    </row>
    <row r="928" spans="3:3" ht="15.75" customHeight="1" x14ac:dyDescent="0.25">
      <c r="C928" s="6"/>
    </row>
    <row r="929" spans="3:3" ht="15.75" customHeight="1" x14ac:dyDescent="0.25">
      <c r="C929" s="6"/>
    </row>
    <row r="930" spans="3:3" ht="15.75" customHeight="1" x14ac:dyDescent="0.25">
      <c r="C930" s="6"/>
    </row>
    <row r="931" spans="3:3" ht="15.75" customHeight="1" x14ac:dyDescent="0.25">
      <c r="C931" s="6"/>
    </row>
    <row r="932" spans="3:3" ht="15.75" customHeight="1" x14ac:dyDescent="0.25">
      <c r="C932" s="6"/>
    </row>
    <row r="933" spans="3:3" ht="15.75" customHeight="1" x14ac:dyDescent="0.25">
      <c r="C933" s="6"/>
    </row>
    <row r="934" spans="3:3" ht="15.75" customHeight="1" x14ac:dyDescent="0.25">
      <c r="C934" s="6"/>
    </row>
    <row r="935" spans="3:3" ht="15.75" customHeight="1" x14ac:dyDescent="0.25">
      <c r="C935" s="6"/>
    </row>
    <row r="936" spans="3:3" ht="15.75" customHeight="1" x14ac:dyDescent="0.25">
      <c r="C936" s="6"/>
    </row>
    <row r="937" spans="3:3" ht="15.75" customHeight="1" x14ac:dyDescent="0.25">
      <c r="C937" s="6"/>
    </row>
    <row r="938" spans="3:3" ht="15.75" customHeight="1" x14ac:dyDescent="0.25">
      <c r="C938" s="6"/>
    </row>
    <row r="939" spans="3:3" ht="15.75" customHeight="1" x14ac:dyDescent="0.25">
      <c r="C939" s="6"/>
    </row>
    <row r="940" spans="3:3" ht="15.75" customHeight="1" x14ac:dyDescent="0.25">
      <c r="C940" s="6"/>
    </row>
    <row r="941" spans="3:3" ht="15.75" customHeight="1" x14ac:dyDescent="0.25">
      <c r="C941" s="6"/>
    </row>
    <row r="942" spans="3:3" ht="15.75" customHeight="1" x14ac:dyDescent="0.25">
      <c r="C942" s="6"/>
    </row>
    <row r="943" spans="3:3" ht="15.75" customHeight="1" x14ac:dyDescent="0.25">
      <c r="C943" s="6"/>
    </row>
    <row r="944" spans="3:3" ht="15.75" customHeight="1" x14ac:dyDescent="0.25">
      <c r="C944" s="6"/>
    </row>
    <row r="945" spans="3:3" ht="15.75" customHeight="1" x14ac:dyDescent="0.25">
      <c r="C945" s="6"/>
    </row>
    <row r="946" spans="3:3" ht="15.75" customHeight="1" x14ac:dyDescent="0.25">
      <c r="C946" s="6"/>
    </row>
    <row r="947" spans="3:3" ht="15.75" customHeight="1" x14ac:dyDescent="0.25">
      <c r="C947" s="6"/>
    </row>
    <row r="948" spans="3:3" ht="15.75" customHeight="1" x14ac:dyDescent="0.25">
      <c r="C948" s="6"/>
    </row>
    <row r="949" spans="3:3" ht="15.75" customHeight="1" x14ac:dyDescent="0.25">
      <c r="C949" s="6"/>
    </row>
    <row r="950" spans="3:3" ht="15.75" customHeight="1" x14ac:dyDescent="0.25">
      <c r="C950" s="6"/>
    </row>
    <row r="951" spans="3:3" ht="15.75" customHeight="1" x14ac:dyDescent="0.25">
      <c r="C951" s="6"/>
    </row>
    <row r="952" spans="3:3" ht="15.75" customHeight="1" x14ac:dyDescent="0.25">
      <c r="C952" s="6"/>
    </row>
    <row r="953" spans="3:3" ht="15.75" customHeight="1" x14ac:dyDescent="0.25">
      <c r="C953" s="6"/>
    </row>
    <row r="954" spans="3:3" ht="15.75" customHeight="1" x14ac:dyDescent="0.25">
      <c r="C954" s="6"/>
    </row>
    <row r="955" spans="3:3" ht="15.75" customHeight="1" x14ac:dyDescent="0.25">
      <c r="C955" s="6"/>
    </row>
    <row r="956" spans="3:3" ht="15.75" customHeight="1" x14ac:dyDescent="0.25">
      <c r="C956" s="6"/>
    </row>
    <row r="957" spans="3:3" ht="15.75" customHeight="1" x14ac:dyDescent="0.25">
      <c r="C957" s="6"/>
    </row>
    <row r="958" spans="3:3" ht="15.75" customHeight="1" x14ac:dyDescent="0.25">
      <c r="C958" s="6"/>
    </row>
    <row r="959" spans="3:3" ht="15.75" customHeight="1" x14ac:dyDescent="0.25">
      <c r="C959" s="6"/>
    </row>
    <row r="960" spans="3:3" ht="15.75" customHeight="1" x14ac:dyDescent="0.25">
      <c r="C960" s="6"/>
    </row>
    <row r="961" spans="3:3" ht="15.75" customHeight="1" x14ac:dyDescent="0.25">
      <c r="C961" s="6"/>
    </row>
    <row r="962" spans="3:3" ht="15.75" customHeight="1" x14ac:dyDescent="0.25">
      <c r="C962" s="6"/>
    </row>
    <row r="963" spans="3:3" ht="15.75" customHeight="1" x14ac:dyDescent="0.25">
      <c r="C963" s="6"/>
    </row>
    <row r="964" spans="3:3" ht="15.75" customHeight="1" x14ac:dyDescent="0.25">
      <c r="C964" s="6"/>
    </row>
    <row r="965" spans="3:3" ht="15.75" customHeight="1" x14ac:dyDescent="0.25">
      <c r="C965" s="6"/>
    </row>
    <row r="966" spans="3:3" ht="15.75" customHeight="1" x14ac:dyDescent="0.25">
      <c r="C966" s="6"/>
    </row>
    <row r="967" spans="3:3" ht="15.75" customHeight="1" x14ac:dyDescent="0.25">
      <c r="C967" s="6"/>
    </row>
    <row r="968" spans="3:3" ht="15.75" customHeight="1" x14ac:dyDescent="0.25">
      <c r="C968" s="6"/>
    </row>
    <row r="969" spans="3:3" ht="15.75" customHeight="1" x14ac:dyDescent="0.25">
      <c r="C969" s="6"/>
    </row>
    <row r="970" spans="3:3" ht="15.75" customHeight="1" x14ac:dyDescent="0.25">
      <c r="C970" s="6"/>
    </row>
    <row r="971" spans="3:3" ht="15.75" customHeight="1" x14ac:dyDescent="0.25">
      <c r="C971" s="6"/>
    </row>
    <row r="972" spans="3:3" ht="15.75" customHeight="1" x14ac:dyDescent="0.25">
      <c r="C972" s="6"/>
    </row>
    <row r="973" spans="3:3" ht="15.75" customHeight="1" x14ac:dyDescent="0.25">
      <c r="C973" s="6"/>
    </row>
    <row r="974" spans="3:3" ht="15.75" customHeight="1" x14ac:dyDescent="0.25">
      <c r="C974" s="6"/>
    </row>
    <row r="975" spans="3:3" ht="15.75" customHeight="1" x14ac:dyDescent="0.25">
      <c r="C975" s="6"/>
    </row>
    <row r="976" spans="3:3" ht="15.75" customHeight="1" x14ac:dyDescent="0.25">
      <c r="C976" s="6"/>
    </row>
    <row r="977" spans="3:3" ht="15.75" customHeight="1" x14ac:dyDescent="0.25">
      <c r="C977" s="6"/>
    </row>
    <row r="978" spans="3:3" ht="15.75" customHeight="1" x14ac:dyDescent="0.25">
      <c r="C978" s="6"/>
    </row>
    <row r="979" spans="3:3" ht="15.75" customHeight="1" x14ac:dyDescent="0.25">
      <c r="C979" s="6"/>
    </row>
    <row r="980" spans="3:3" ht="15.75" customHeight="1" x14ac:dyDescent="0.25">
      <c r="C980" s="6"/>
    </row>
    <row r="981" spans="3:3" ht="15.75" customHeight="1" x14ac:dyDescent="0.25">
      <c r="C981" s="6"/>
    </row>
    <row r="982" spans="3:3" ht="15.75" customHeight="1" x14ac:dyDescent="0.25">
      <c r="C982" s="6"/>
    </row>
    <row r="983" spans="3:3" ht="15.75" customHeight="1" x14ac:dyDescent="0.25">
      <c r="C983" s="6"/>
    </row>
    <row r="984" spans="3:3" ht="15.75" customHeight="1" x14ac:dyDescent="0.25">
      <c r="C984" s="6"/>
    </row>
    <row r="985" spans="3:3" ht="15.75" customHeight="1" x14ac:dyDescent="0.25">
      <c r="C985" s="6"/>
    </row>
    <row r="986" spans="3:3" ht="15.75" customHeight="1" x14ac:dyDescent="0.25">
      <c r="C986" s="6"/>
    </row>
    <row r="987" spans="3:3" ht="15.75" customHeight="1" x14ac:dyDescent="0.25">
      <c r="C987" s="6"/>
    </row>
    <row r="988" spans="3:3" ht="15.75" customHeight="1" x14ac:dyDescent="0.25">
      <c r="C988" s="6"/>
    </row>
    <row r="989" spans="3:3" ht="15.75" customHeight="1" x14ac:dyDescent="0.25">
      <c r="C989" s="6"/>
    </row>
    <row r="990" spans="3:3" ht="15.75" customHeight="1" x14ac:dyDescent="0.25">
      <c r="C990" s="6"/>
    </row>
    <row r="991" spans="3:3" ht="15.75" customHeight="1" x14ac:dyDescent="0.25">
      <c r="C991" s="6"/>
    </row>
    <row r="992" spans="3:3" ht="15.75" customHeight="1" x14ac:dyDescent="0.25">
      <c r="C992" s="6"/>
    </row>
    <row r="993" spans="3:3" ht="15.75" customHeight="1" x14ac:dyDescent="0.25">
      <c r="C993" s="6"/>
    </row>
    <row r="994" spans="3:3" ht="15.75" customHeight="1" x14ac:dyDescent="0.25">
      <c r="C994" s="6"/>
    </row>
    <row r="995" spans="3:3" ht="15.75" customHeight="1" x14ac:dyDescent="0.25">
      <c r="C995" s="6"/>
    </row>
    <row r="996" spans="3:3" ht="15.75" customHeight="1" x14ac:dyDescent="0.25">
      <c r="C996" s="6"/>
    </row>
    <row r="997" spans="3:3" ht="15.75" customHeight="1" x14ac:dyDescent="0.25">
      <c r="C997" s="6"/>
    </row>
    <row r="998" spans="3:3" ht="15.75" customHeight="1" x14ac:dyDescent="0.25">
      <c r="C998" s="6"/>
    </row>
    <row r="999" spans="3:3" ht="15.75" customHeight="1" x14ac:dyDescent="0.25">
      <c r="C999" s="6"/>
    </row>
    <row r="1000" spans="3:3" ht="15.75" customHeight="1" x14ac:dyDescent="0.25">
      <c r="C1000" s="6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GASTOS GERAIS</vt:lpstr>
      <vt:lpstr>NATAL 2023</vt:lpstr>
      <vt:lpstr>PIRENOPOLIS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ADRYANO SILVA SANTOS</dc:creator>
  <cp:lastModifiedBy>User</cp:lastModifiedBy>
  <dcterms:created xsi:type="dcterms:W3CDTF">2023-12-18T17:24:49Z</dcterms:created>
  <dcterms:modified xsi:type="dcterms:W3CDTF">2025-11-24T21:01:36Z</dcterms:modified>
</cp:coreProperties>
</file>